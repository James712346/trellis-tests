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int.oir.qld.gov.au\data\OFSWQ\Lutwyche Groups(H-Z)\Licensing Compliance Unit\11 GCIT\Public Register\"/>
    </mc:Choice>
  </mc:AlternateContent>
  <xr:revisionPtr revIDLastSave="0" documentId="13_ncr:1_{12DB41BD-183C-4087-AF41-A9B0DD88C35E}" xr6:coauthVersionLast="47" xr6:coauthVersionMax="47" xr10:uidLastSave="{00000000-0000-0000-0000-000000000000}"/>
  <bookViews>
    <workbookView xWindow="-33555" yWindow="-10770" windowWidth="25920" windowHeight="15435" xr2:uid="{8562C194-29A4-4994-9D4C-C06F86B7EF9E}"/>
  </bookViews>
  <sheets>
    <sheet name="Public register-web" sheetId="1" r:id="rId1"/>
  </sheets>
  <externalReferences>
    <externalReference r:id="rId2"/>
  </externalReferences>
  <definedNames>
    <definedName name="_xlnm._FilterDatabase" localSheetId="0" hidden="1">'Public register-web'!$R$2:$R$400</definedName>
    <definedName name="ddAllocatedStockAction">[1]!tblAllocatedStockAction[Allocated Stock Action]</definedName>
    <definedName name="ddApplicationStatus">[1]!tblApplicationStatus[Application Status]</definedName>
    <definedName name="ddCardStatus">[1]!tblCardStatus[Card Status]</definedName>
    <definedName name="ddEnforcementAction">[1]!tblEnforcementAction[Enforcement Action]</definedName>
    <definedName name="ddEnforcementReason">[1]!tblEnforcementReason[Enforcement Reason]</definedName>
    <definedName name="ddEvent">[1]!tblEvent[Event]</definedName>
    <definedName name="ddEventType">[1]!tblType[Event Type]</definedName>
    <definedName name="ddModeOfDelivery">[1]!tblModeOfDelivery[Mode of Delivery]</definedName>
    <definedName name="ddResponse">[1]!tblResponse[Response]</definedName>
    <definedName name="ddRTONumber">[1]!tblRTORegister[RTO Number]</definedName>
    <definedName name="ddSubmittedMonthlyReport">[1]!tblSubmittedMonthlyReport[Submitted Monthly Report]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00" i="1" l="1"/>
  <c r="O400" i="1"/>
  <c r="N400" i="1"/>
  <c r="M400" i="1"/>
  <c r="L400" i="1"/>
  <c r="K400" i="1"/>
  <c r="J400" i="1"/>
  <c r="I400" i="1"/>
  <c r="H400" i="1"/>
  <c r="G400" i="1"/>
  <c r="P399" i="1"/>
  <c r="O399" i="1"/>
  <c r="N399" i="1"/>
  <c r="M399" i="1"/>
  <c r="L399" i="1"/>
  <c r="K399" i="1"/>
  <c r="J399" i="1"/>
  <c r="I399" i="1"/>
  <c r="H399" i="1"/>
  <c r="Q399" i="1" s="1"/>
  <c r="F399" i="1" s="1"/>
  <c r="G399" i="1"/>
  <c r="P398" i="1"/>
  <c r="O398" i="1"/>
  <c r="N398" i="1"/>
  <c r="M398" i="1"/>
  <c r="L398" i="1"/>
  <c r="K398" i="1"/>
  <c r="J398" i="1"/>
  <c r="I398" i="1"/>
  <c r="H398" i="1"/>
  <c r="G398" i="1"/>
  <c r="P397" i="1"/>
  <c r="O397" i="1"/>
  <c r="N397" i="1"/>
  <c r="M397" i="1"/>
  <c r="L397" i="1"/>
  <c r="K397" i="1"/>
  <c r="J397" i="1"/>
  <c r="I397" i="1"/>
  <c r="H397" i="1"/>
  <c r="Q397" i="1" s="1"/>
  <c r="F397" i="1" s="1"/>
  <c r="G397" i="1"/>
  <c r="P396" i="1"/>
  <c r="O396" i="1"/>
  <c r="N396" i="1"/>
  <c r="M396" i="1"/>
  <c r="L396" i="1"/>
  <c r="K396" i="1"/>
  <c r="J396" i="1"/>
  <c r="I396" i="1"/>
  <c r="H396" i="1"/>
  <c r="G396" i="1"/>
  <c r="P395" i="1"/>
  <c r="O395" i="1"/>
  <c r="N395" i="1"/>
  <c r="M395" i="1"/>
  <c r="L395" i="1"/>
  <c r="K395" i="1"/>
  <c r="J395" i="1"/>
  <c r="I395" i="1"/>
  <c r="H395" i="1"/>
  <c r="Q395" i="1" s="1"/>
  <c r="F395" i="1" s="1"/>
  <c r="G395" i="1"/>
  <c r="P394" i="1"/>
  <c r="O394" i="1"/>
  <c r="N394" i="1"/>
  <c r="M394" i="1"/>
  <c r="L394" i="1"/>
  <c r="K394" i="1"/>
  <c r="J394" i="1"/>
  <c r="I394" i="1"/>
  <c r="H394" i="1"/>
  <c r="G394" i="1"/>
  <c r="P393" i="1"/>
  <c r="O393" i="1"/>
  <c r="N393" i="1"/>
  <c r="M393" i="1"/>
  <c r="L393" i="1"/>
  <c r="K393" i="1"/>
  <c r="J393" i="1"/>
  <c r="I393" i="1"/>
  <c r="H393" i="1"/>
  <c r="G393" i="1"/>
  <c r="P392" i="1"/>
  <c r="O392" i="1"/>
  <c r="N392" i="1"/>
  <c r="M392" i="1"/>
  <c r="L392" i="1"/>
  <c r="K392" i="1"/>
  <c r="J392" i="1"/>
  <c r="I392" i="1"/>
  <c r="H392" i="1"/>
  <c r="G392" i="1"/>
  <c r="P391" i="1"/>
  <c r="O391" i="1"/>
  <c r="N391" i="1"/>
  <c r="M391" i="1"/>
  <c r="L391" i="1"/>
  <c r="K391" i="1"/>
  <c r="J391" i="1"/>
  <c r="I391" i="1"/>
  <c r="H391" i="1"/>
  <c r="Q391" i="1" s="1"/>
  <c r="F391" i="1" s="1"/>
  <c r="G391" i="1"/>
  <c r="P390" i="1"/>
  <c r="O390" i="1"/>
  <c r="N390" i="1"/>
  <c r="M390" i="1"/>
  <c r="L390" i="1"/>
  <c r="K390" i="1"/>
  <c r="J390" i="1"/>
  <c r="I390" i="1"/>
  <c r="H390" i="1"/>
  <c r="G390" i="1"/>
  <c r="P389" i="1"/>
  <c r="O389" i="1"/>
  <c r="N389" i="1"/>
  <c r="M389" i="1"/>
  <c r="L389" i="1"/>
  <c r="K389" i="1"/>
  <c r="J389" i="1"/>
  <c r="I389" i="1"/>
  <c r="H389" i="1"/>
  <c r="G389" i="1"/>
  <c r="P388" i="1"/>
  <c r="O388" i="1"/>
  <c r="N388" i="1"/>
  <c r="M388" i="1"/>
  <c r="L388" i="1"/>
  <c r="K388" i="1"/>
  <c r="J388" i="1"/>
  <c r="I388" i="1"/>
  <c r="H388" i="1"/>
  <c r="G388" i="1"/>
  <c r="P387" i="1"/>
  <c r="O387" i="1"/>
  <c r="N387" i="1"/>
  <c r="M387" i="1"/>
  <c r="L387" i="1"/>
  <c r="K387" i="1"/>
  <c r="J387" i="1"/>
  <c r="I387" i="1"/>
  <c r="H387" i="1"/>
  <c r="G387" i="1"/>
  <c r="P386" i="1"/>
  <c r="O386" i="1"/>
  <c r="N386" i="1"/>
  <c r="M386" i="1"/>
  <c r="L386" i="1"/>
  <c r="K386" i="1"/>
  <c r="J386" i="1"/>
  <c r="I386" i="1"/>
  <c r="H386" i="1"/>
  <c r="Q386" i="1" s="1"/>
  <c r="F386" i="1" s="1"/>
  <c r="G386" i="1"/>
  <c r="P385" i="1"/>
  <c r="O385" i="1"/>
  <c r="N385" i="1"/>
  <c r="M385" i="1"/>
  <c r="L385" i="1"/>
  <c r="K385" i="1"/>
  <c r="J385" i="1"/>
  <c r="I385" i="1"/>
  <c r="H385" i="1"/>
  <c r="Q385" i="1" s="1"/>
  <c r="F385" i="1" s="1"/>
  <c r="G385" i="1"/>
  <c r="P384" i="1"/>
  <c r="O384" i="1"/>
  <c r="N384" i="1"/>
  <c r="M384" i="1"/>
  <c r="L384" i="1"/>
  <c r="K384" i="1"/>
  <c r="J384" i="1"/>
  <c r="I384" i="1"/>
  <c r="H384" i="1"/>
  <c r="G384" i="1"/>
  <c r="P383" i="1"/>
  <c r="O383" i="1"/>
  <c r="N383" i="1"/>
  <c r="M383" i="1"/>
  <c r="L383" i="1"/>
  <c r="K383" i="1"/>
  <c r="J383" i="1"/>
  <c r="I383" i="1"/>
  <c r="H383" i="1"/>
  <c r="G383" i="1"/>
  <c r="P382" i="1"/>
  <c r="O382" i="1"/>
  <c r="N382" i="1"/>
  <c r="M382" i="1"/>
  <c r="L382" i="1"/>
  <c r="K382" i="1"/>
  <c r="J382" i="1"/>
  <c r="I382" i="1"/>
  <c r="H382" i="1"/>
  <c r="Q382" i="1" s="1"/>
  <c r="F382" i="1" s="1"/>
  <c r="G382" i="1"/>
  <c r="P381" i="1"/>
  <c r="O381" i="1"/>
  <c r="N381" i="1"/>
  <c r="M381" i="1"/>
  <c r="L381" i="1"/>
  <c r="K381" i="1"/>
  <c r="J381" i="1"/>
  <c r="I381" i="1"/>
  <c r="H381" i="1"/>
  <c r="Q381" i="1" s="1"/>
  <c r="F381" i="1" s="1"/>
  <c r="G381" i="1"/>
  <c r="P380" i="1"/>
  <c r="O380" i="1"/>
  <c r="N380" i="1"/>
  <c r="M380" i="1"/>
  <c r="L380" i="1"/>
  <c r="K380" i="1"/>
  <c r="J380" i="1"/>
  <c r="I380" i="1"/>
  <c r="H380" i="1"/>
  <c r="G380" i="1"/>
  <c r="P379" i="1"/>
  <c r="O379" i="1"/>
  <c r="N379" i="1"/>
  <c r="M379" i="1"/>
  <c r="L379" i="1"/>
  <c r="K379" i="1"/>
  <c r="J379" i="1"/>
  <c r="I379" i="1"/>
  <c r="H379" i="1"/>
  <c r="Q379" i="1" s="1"/>
  <c r="G379" i="1"/>
  <c r="P378" i="1"/>
  <c r="O378" i="1"/>
  <c r="N378" i="1"/>
  <c r="M378" i="1"/>
  <c r="L378" i="1"/>
  <c r="K378" i="1"/>
  <c r="J378" i="1"/>
  <c r="I378" i="1"/>
  <c r="H378" i="1"/>
  <c r="Q378" i="1" s="1"/>
  <c r="F378" i="1" s="1"/>
  <c r="G378" i="1"/>
  <c r="P377" i="1"/>
  <c r="O377" i="1"/>
  <c r="N377" i="1"/>
  <c r="M377" i="1"/>
  <c r="L377" i="1"/>
  <c r="K377" i="1"/>
  <c r="J377" i="1"/>
  <c r="I377" i="1"/>
  <c r="H377" i="1"/>
  <c r="Q377" i="1" s="1"/>
  <c r="F377" i="1" s="1"/>
  <c r="G377" i="1"/>
  <c r="P376" i="1"/>
  <c r="O376" i="1"/>
  <c r="N376" i="1"/>
  <c r="M376" i="1"/>
  <c r="L376" i="1"/>
  <c r="K376" i="1"/>
  <c r="J376" i="1"/>
  <c r="I376" i="1"/>
  <c r="H376" i="1"/>
  <c r="Q376" i="1" s="1"/>
  <c r="F376" i="1" s="1"/>
  <c r="G376" i="1"/>
  <c r="P375" i="1"/>
  <c r="O375" i="1"/>
  <c r="N375" i="1"/>
  <c r="M375" i="1"/>
  <c r="L375" i="1"/>
  <c r="K375" i="1"/>
  <c r="J375" i="1"/>
  <c r="I375" i="1"/>
  <c r="H375" i="1"/>
  <c r="Q375" i="1" s="1"/>
  <c r="G375" i="1"/>
  <c r="P374" i="1"/>
  <c r="O374" i="1"/>
  <c r="N374" i="1"/>
  <c r="M374" i="1"/>
  <c r="L374" i="1"/>
  <c r="K374" i="1"/>
  <c r="J374" i="1"/>
  <c r="I374" i="1"/>
  <c r="H374" i="1"/>
  <c r="Q374" i="1" s="1"/>
  <c r="F374" i="1" s="1"/>
  <c r="G374" i="1"/>
  <c r="P373" i="1"/>
  <c r="O373" i="1"/>
  <c r="N373" i="1"/>
  <c r="M373" i="1"/>
  <c r="L373" i="1"/>
  <c r="K373" i="1"/>
  <c r="J373" i="1"/>
  <c r="I373" i="1"/>
  <c r="H373" i="1"/>
  <c r="Q373" i="1" s="1"/>
  <c r="F373" i="1" s="1"/>
  <c r="G373" i="1"/>
  <c r="P372" i="1"/>
  <c r="O372" i="1"/>
  <c r="N372" i="1"/>
  <c r="M372" i="1"/>
  <c r="L372" i="1"/>
  <c r="K372" i="1"/>
  <c r="J372" i="1"/>
  <c r="I372" i="1"/>
  <c r="H372" i="1"/>
  <c r="Q372" i="1" s="1"/>
  <c r="F372" i="1" s="1"/>
  <c r="G372" i="1"/>
  <c r="P371" i="1"/>
  <c r="O371" i="1"/>
  <c r="N371" i="1"/>
  <c r="M371" i="1"/>
  <c r="L371" i="1"/>
  <c r="K371" i="1"/>
  <c r="J371" i="1"/>
  <c r="I371" i="1"/>
  <c r="H371" i="1"/>
  <c r="G371" i="1"/>
  <c r="P370" i="1"/>
  <c r="O370" i="1"/>
  <c r="N370" i="1"/>
  <c r="M370" i="1"/>
  <c r="L370" i="1"/>
  <c r="K370" i="1"/>
  <c r="J370" i="1"/>
  <c r="I370" i="1"/>
  <c r="H370" i="1"/>
  <c r="Q370" i="1" s="1"/>
  <c r="F370" i="1" s="1"/>
  <c r="G370" i="1"/>
  <c r="P369" i="1"/>
  <c r="O369" i="1"/>
  <c r="N369" i="1"/>
  <c r="M369" i="1"/>
  <c r="L369" i="1"/>
  <c r="K369" i="1"/>
  <c r="J369" i="1"/>
  <c r="I369" i="1"/>
  <c r="H369" i="1"/>
  <c r="Q369" i="1" s="1"/>
  <c r="F369" i="1" s="1"/>
  <c r="G369" i="1"/>
  <c r="P368" i="1"/>
  <c r="O368" i="1"/>
  <c r="N368" i="1"/>
  <c r="M368" i="1"/>
  <c r="L368" i="1"/>
  <c r="K368" i="1"/>
  <c r="J368" i="1"/>
  <c r="I368" i="1"/>
  <c r="H368" i="1"/>
  <c r="Q368" i="1" s="1"/>
  <c r="F368" i="1" s="1"/>
  <c r="G368" i="1"/>
  <c r="P367" i="1"/>
  <c r="O367" i="1"/>
  <c r="N367" i="1"/>
  <c r="M367" i="1"/>
  <c r="L367" i="1"/>
  <c r="K367" i="1"/>
  <c r="J367" i="1"/>
  <c r="I367" i="1"/>
  <c r="H367" i="1"/>
  <c r="Q367" i="1" s="1"/>
  <c r="G367" i="1"/>
  <c r="P366" i="1"/>
  <c r="O366" i="1"/>
  <c r="N366" i="1"/>
  <c r="M366" i="1"/>
  <c r="L366" i="1"/>
  <c r="K366" i="1"/>
  <c r="J366" i="1"/>
  <c r="I366" i="1"/>
  <c r="H366" i="1"/>
  <c r="Q366" i="1" s="1"/>
  <c r="F366" i="1" s="1"/>
  <c r="G366" i="1"/>
  <c r="P365" i="1"/>
  <c r="O365" i="1"/>
  <c r="N365" i="1"/>
  <c r="M365" i="1"/>
  <c r="L365" i="1"/>
  <c r="K365" i="1"/>
  <c r="J365" i="1"/>
  <c r="I365" i="1"/>
  <c r="H365" i="1"/>
  <c r="Q365" i="1" s="1"/>
  <c r="F365" i="1" s="1"/>
  <c r="G365" i="1"/>
  <c r="P364" i="1"/>
  <c r="O364" i="1"/>
  <c r="N364" i="1"/>
  <c r="M364" i="1"/>
  <c r="L364" i="1"/>
  <c r="K364" i="1"/>
  <c r="J364" i="1"/>
  <c r="I364" i="1"/>
  <c r="H364" i="1"/>
  <c r="Q364" i="1" s="1"/>
  <c r="F364" i="1" s="1"/>
  <c r="G364" i="1"/>
  <c r="P363" i="1"/>
  <c r="O363" i="1"/>
  <c r="N363" i="1"/>
  <c r="M363" i="1"/>
  <c r="L363" i="1"/>
  <c r="K363" i="1"/>
  <c r="J363" i="1"/>
  <c r="I363" i="1"/>
  <c r="H363" i="1"/>
  <c r="G363" i="1"/>
  <c r="P362" i="1"/>
  <c r="O362" i="1"/>
  <c r="N362" i="1"/>
  <c r="M362" i="1"/>
  <c r="L362" i="1"/>
  <c r="K362" i="1"/>
  <c r="J362" i="1"/>
  <c r="I362" i="1"/>
  <c r="H362" i="1"/>
  <c r="Q362" i="1" s="1"/>
  <c r="F362" i="1" s="1"/>
  <c r="G362" i="1"/>
  <c r="P361" i="1"/>
  <c r="O361" i="1"/>
  <c r="N361" i="1"/>
  <c r="M361" i="1"/>
  <c r="L361" i="1"/>
  <c r="K361" i="1"/>
  <c r="J361" i="1"/>
  <c r="I361" i="1"/>
  <c r="H361" i="1"/>
  <c r="Q361" i="1" s="1"/>
  <c r="F361" i="1" s="1"/>
  <c r="G361" i="1"/>
  <c r="P360" i="1"/>
  <c r="O360" i="1"/>
  <c r="N360" i="1"/>
  <c r="M360" i="1"/>
  <c r="L360" i="1"/>
  <c r="K360" i="1"/>
  <c r="J360" i="1"/>
  <c r="I360" i="1"/>
  <c r="H360" i="1"/>
  <c r="Q360" i="1" s="1"/>
  <c r="F360" i="1" s="1"/>
  <c r="G360" i="1"/>
  <c r="P359" i="1"/>
  <c r="O359" i="1"/>
  <c r="N359" i="1"/>
  <c r="M359" i="1"/>
  <c r="L359" i="1"/>
  <c r="K359" i="1"/>
  <c r="J359" i="1"/>
  <c r="I359" i="1"/>
  <c r="H359" i="1"/>
  <c r="Q359" i="1" s="1"/>
  <c r="G359" i="1"/>
  <c r="P358" i="1"/>
  <c r="O358" i="1"/>
  <c r="N358" i="1"/>
  <c r="M358" i="1"/>
  <c r="L358" i="1"/>
  <c r="K358" i="1"/>
  <c r="J358" i="1"/>
  <c r="I358" i="1"/>
  <c r="H358" i="1"/>
  <c r="Q358" i="1" s="1"/>
  <c r="F358" i="1" s="1"/>
  <c r="G358" i="1"/>
  <c r="P357" i="1"/>
  <c r="O357" i="1"/>
  <c r="N357" i="1"/>
  <c r="M357" i="1"/>
  <c r="L357" i="1"/>
  <c r="K357" i="1"/>
  <c r="J357" i="1"/>
  <c r="I357" i="1"/>
  <c r="H357" i="1"/>
  <c r="Q357" i="1" s="1"/>
  <c r="F357" i="1" s="1"/>
  <c r="G357" i="1"/>
  <c r="P356" i="1"/>
  <c r="O356" i="1"/>
  <c r="N356" i="1"/>
  <c r="M356" i="1"/>
  <c r="L356" i="1"/>
  <c r="K356" i="1"/>
  <c r="J356" i="1"/>
  <c r="I356" i="1"/>
  <c r="H356" i="1"/>
  <c r="Q356" i="1" s="1"/>
  <c r="F356" i="1" s="1"/>
  <c r="G356" i="1"/>
  <c r="P355" i="1"/>
  <c r="O355" i="1"/>
  <c r="N355" i="1"/>
  <c r="M355" i="1"/>
  <c r="L355" i="1"/>
  <c r="K355" i="1"/>
  <c r="J355" i="1"/>
  <c r="I355" i="1"/>
  <c r="H355" i="1"/>
  <c r="G355" i="1"/>
  <c r="P354" i="1"/>
  <c r="O354" i="1"/>
  <c r="N354" i="1"/>
  <c r="M354" i="1"/>
  <c r="L354" i="1"/>
  <c r="K354" i="1"/>
  <c r="J354" i="1"/>
  <c r="I354" i="1"/>
  <c r="H354" i="1"/>
  <c r="Q354" i="1" s="1"/>
  <c r="F354" i="1" s="1"/>
  <c r="G354" i="1"/>
  <c r="P353" i="1"/>
  <c r="O353" i="1"/>
  <c r="N353" i="1"/>
  <c r="M353" i="1"/>
  <c r="L353" i="1"/>
  <c r="K353" i="1"/>
  <c r="J353" i="1"/>
  <c r="I353" i="1"/>
  <c r="H353" i="1"/>
  <c r="Q353" i="1" s="1"/>
  <c r="F353" i="1" s="1"/>
  <c r="G353" i="1"/>
  <c r="P352" i="1"/>
  <c r="O352" i="1"/>
  <c r="N352" i="1"/>
  <c r="M352" i="1"/>
  <c r="L352" i="1"/>
  <c r="K352" i="1"/>
  <c r="J352" i="1"/>
  <c r="I352" i="1"/>
  <c r="H352" i="1"/>
  <c r="Q352" i="1" s="1"/>
  <c r="F352" i="1" s="1"/>
  <c r="G352" i="1"/>
  <c r="P351" i="1"/>
  <c r="O351" i="1"/>
  <c r="N351" i="1"/>
  <c r="M351" i="1"/>
  <c r="L351" i="1"/>
  <c r="K351" i="1"/>
  <c r="J351" i="1"/>
  <c r="I351" i="1"/>
  <c r="H351" i="1"/>
  <c r="Q351" i="1" s="1"/>
  <c r="G351" i="1"/>
  <c r="P350" i="1"/>
  <c r="O350" i="1"/>
  <c r="N350" i="1"/>
  <c r="M350" i="1"/>
  <c r="L350" i="1"/>
  <c r="K350" i="1"/>
  <c r="J350" i="1"/>
  <c r="I350" i="1"/>
  <c r="H350" i="1"/>
  <c r="Q350" i="1" s="1"/>
  <c r="F350" i="1" s="1"/>
  <c r="G350" i="1"/>
  <c r="P349" i="1"/>
  <c r="O349" i="1"/>
  <c r="N349" i="1"/>
  <c r="M349" i="1"/>
  <c r="L349" i="1"/>
  <c r="K349" i="1"/>
  <c r="J349" i="1"/>
  <c r="I349" i="1"/>
  <c r="H349" i="1"/>
  <c r="Q349" i="1" s="1"/>
  <c r="F349" i="1" s="1"/>
  <c r="G349" i="1"/>
  <c r="P348" i="1"/>
  <c r="O348" i="1"/>
  <c r="N348" i="1"/>
  <c r="M348" i="1"/>
  <c r="L348" i="1"/>
  <c r="K348" i="1"/>
  <c r="J348" i="1"/>
  <c r="I348" i="1"/>
  <c r="H348" i="1"/>
  <c r="Q348" i="1" s="1"/>
  <c r="F348" i="1" s="1"/>
  <c r="G348" i="1"/>
  <c r="P347" i="1"/>
  <c r="O347" i="1"/>
  <c r="N347" i="1"/>
  <c r="M347" i="1"/>
  <c r="L347" i="1"/>
  <c r="K347" i="1"/>
  <c r="J347" i="1"/>
  <c r="I347" i="1"/>
  <c r="H347" i="1"/>
  <c r="G347" i="1"/>
  <c r="P346" i="1"/>
  <c r="O346" i="1"/>
  <c r="N346" i="1"/>
  <c r="M346" i="1"/>
  <c r="L346" i="1"/>
  <c r="K346" i="1"/>
  <c r="J346" i="1"/>
  <c r="I346" i="1"/>
  <c r="H346" i="1"/>
  <c r="Q346" i="1" s="1"/>
  <c r="F346" i="1" s="1"/>
  <c r="G346" i="1"/>
  <c r="P345" i="1"/>
  <c r="O345" i="1"/>
  <c r="N345" i="1"/>
  <c r="M345" i="1"/>
  <c r="L345" i="1"/>
  <c r="K345" i="1"/>
  <c r="J345" i="1"/>
  <c r="I345" i="1"/>
  <c r="H345" i="1"/>
  <c r="Q345" i="1" s="1"/>
  <c r="F345" i="1" s="1"/>
  <c r="G345" i="1"/>
  <c r="P344" i="1"/>
  <c r="O344" i="1"/>
  <c r="N344" i="1"/>
  <c r="M344" i="1"/>
  <c r="L344" i="1"/>
  <c r="K344" i="1"/>
  <c r="J344" i="1"/>
  <c r="I344" i="1"/>
  <c r="H344" i="1"/>
  <c r="Q344" i="1" s="1"/>
  <c r="F344" i="1" s="1"/>
  <c r="G344" i="1"/>
  <c r="P343" i="1"/>
  <c r="O343" i="1"/>
  <c r="N343" i="1"/>
  <c r="M343" i="1"/>
  <c r="L343" i="1"/>
  <c r="K343" i="1"/>
  <c r="J343" i="1"/>
  <c r="I343" i="1"/>
  <c r="H343" i="1"/>
  <c r="Q343" i="1" s="1"/>
  <c r="G343" i="1"/>
  <c r="P342" i="1"/>
  <c r="O342" i="1"/>
  <c r="N342" i="1"/>
  <c r="M342" i="1"/>
  <c r="L342" i="1"/>
  <c r="K342" i="1"/>
  <c r="J342" i="1"/>
  <c r="I342" i="1"/>
  <c r="H342" i="1"/>
  <c r="Q342" i="1" s="1"/>
  <c r="F342" i="1" s="1"/>
  <c r="G342" i="1"/>
  <c r="P341" i="1"/>
  <c r="O341" i="1"/>
  <c r="N341" i="1"/>
  <c r="M341" i="1"/>
  <c r="L341" i="1"/>
  <c r="K341" i="1"/>
  <c r="J341" i="1"/>
  <c r="I341" i="1"/>
  <c r="H341" i="1"/>
  <c r="Q341" i="1" s="1"/>
  <c r="F341" i="1" s="1"/>
  <c r="G341" i="1"/>
  <c r="P340" i="1"/>
  <c r="O340" i="1"/>
  <c r="N340" i="1"/>
  <c r="M340" i="1"/>
  <c r="L340" i="1"/>
  <c r="K340" i="1"/>
  <c r="J340" i="1"/>
  <c r="I340" i="1"/>
  <c r="H340" i="1"/>
  <c r="G340" i="1"/>
  <c r="P339" i="1"/>
  <c r="O339" i="1"/>
  <c r="N339" i="1"/>
  <c r="M339" i="1"/>
  <c r="L339" i="1"/>
  <c r="K339" i="1"/>
  <c r="J339" i="1"/>
  <c r="I339" i="1"/>
  <c r="H339" i="1"/>
  <c r="Q339" i="1" s="1"/>
  <c r="F339" i="1" s="1"/>
  <c r="G339" i="1"/>
  <c r="P338" i="1"/>
  <c r="O338" i="1"/>
  <c r="N338" i="1"/>
  <c r="M338" i="1"/>
  <c r="L338" i="1"/>
  <c r="K338" i="1"/>
  <c r="J338" i="1"/>
  <c r="I338" i="1"/>
  <c r="H338" i="1"/>
  <c r="G338" i="1"/>
  <c r="P337" i="1"/>
  <c r="O337" i="1"/>
  <c r="N337" i="1"/>
  <c r="M337" i="1"/>
  <c r="L337" i="1"/>
  <c r="K337" i="1"/>
  <c r="J337" i="1"/>
  <c r="I337" i="1"/>
  <c r="H337" i="1"/>
  <c r="Q337" i="1" s="1"/>
  <c r="F337" i="1" s="1"/>
  <c r="G337" i="1"/>
  <c r="P336" i="1"/>
  <c r="O336" i="1"/>
  <c r="N336" i="1"/>
  <c r="M336" i="1"/>
  <c r="L336" i="1"/>
  <c r="K336" i="1"/>
  <c r="J336" i="1"/>
  <c r="I336" i="1"/>
  <c r="H336" i="1"/>
  <c r="Q336" i="1" s="1"/>
  <c r="F336" i="1" s="1"/>
  <c r="G336" i="1"/>
  <c r="P335" i="1"/>
  <c r="O335" i="1"/>
  <c r="N335" i="1"/>
  <c r="M335" i="1"/>
  <c r="L335" i="1"/>
  <c r="K335" i="1"/>
  <c r="J335" i="1"/>
  <c r="I335" i="1"/>
  <c r="H335" i="1"/>
  <c r="Q335" i="1" s="1"/>
  <c r="F335" i="1" s="1"/>
  <c r="G335" i="1"/>
  <c r="P334" i="1"/>
  <c r="O334" i="1"/>
  <c r="N334" i="1"/>
  <c r="M334" i="1"/>
  <c r="L334" i="1"/>
  <c r="K334" i="1"/>
  <c r="J334" i="1"/>
  <c r="I334" i="1"/>
  <c r="H334" i="1"/>
  <c r="Q334" i="1" s="1"/>
  <c r="F334" i="1" s="1"/>
  <c r="G334" i="1"/>
  <c r="P333" i="1"/>
  <c r="O333" i="1"/>
  <c r="N333" i="1"/>
  <c r="M333" i="1"/>
  <c r="L333" i="1"/>
  <c r="K333" i="1"/>
  <c r="J333" i="1"/>
  <c r="I333" i="1"/>
  <c r="H333" i="1"/>
  <c r="Q333" i="1" s="1"/>
  <c r="F333" i="1" s="1"/>
  <c r="G333" i="1"/>
  <c r="P332" i="1"/>
  <c r="O332" i="1"/>
  <c r="N332" i="1"/>
  <c r="M332" i="1"/>
  <c r="L332" i="1"/>
  <c r="K332" i="1"/>
  <c r="J332" i="1"/>
  <c r="I332" i="1"/>
  <c r="H332" i="1"/>
  <c r="Q332" i="1" s="1"/>
  <c r="F332" i="1" s="1"/>
  <c r="G332" i="1"/>
  <c r="P331" i="1"/>
  <c r="O331" i="1"/>
  <c r="N331" i="1"/>
  <c r="M331" i="1"/>
  <c r="L331" i="1"/>
  <c r="K331" i="1"/>
  <c r="J331" i="1"/>
  <c r="I331" i="1"/>
  <c r="H331" i="1"/>
  <c r="Q331" i="1" s="1"/>
  <c r="F331" i="1" s="1"/>
  <c r="G331" i="1"/>
  <c r="P330" i="1"/>
  <c r="O330" i="1"/>
  <c r="N330" i="1"/>
  <c r="M330" i="1"/>
  <c r="L330" i="1"/>
  <c r="K330" i="1"/>
  <c r="J330" i="1"/>
  <c r="I330" i="1"/>
  <c r="H330" i="1"/>
  <c r="G330" i="1"/>
  <c r="P329" i="1"/>
  <c r="O329" i="1"/>
  <c r="N329" i="1"/>
  <c r="M329" i="1"/>
  <c r="L329" i="1"/>
  <c r="K329" i="1"/>
  <c r="J329" i="1"/>
  <c r="I329" i="1"/>
  <c r="H329" i="1"/>
  <c r="Q329" i="1" s="1"/>
  <c r="F329" i="1" s="1"/>
  <c r="G329" i="1"/>
  <c r="P328" i="1"/>
  <c r="O328" i="1"/>
  <c r="N328" i="1"/>
  <c r="M328" i="1"/>
  <c r="L328" i="1"/>
  <c r="K328" i="1"/>
  <c r="J328" i="1"/>
  <c r="I328" i="1"/>
  <c r="H328" i="1"/>
  <c r="Q328" i="1" s="1"/>
  <c r="F328" i="1" s="1"/>
  <c r="G328" i="1"/>
  <c r="P327" i="1"/>
  <c r="O327" i="1"/>
  <c r="N327" i="1"/>
  <c r="M327" i="1"/>
  <c r="L327" i="1"/>
  <c r="K327" i="1"/>
  <c r="J327" i="1"/>
  <c r="I327" i="1"/>
  <c r="H327" i="1"/>
  <c r="Q327" i="1" s="1"/>
  <c r="F327" i="1" s="1"/>
  <c r="G327" i="1"/>
  <c r="P326" i="1"/>
  <c r="O326" i="1"/>
  <c r="N326" i="1"/>
  <c r="M326" i="1"/>
  <c r="L326" i="1"/>
  <c r="K326" i="1"/>
  <c r="J326" i="1"/>
  <c r="I326" i="1"/>
  <c r="H326" i="1"/>
  <c r="Q326" i="1" s="1"/>
  <c r="F326" i="1" s="1"/>
  <c r="G326" i="1"/>
  <c r="P325" i="1"/>
  <c r="O325" i="1"/>
  <c r="N325" i="1"/>
  <c r="M325" i="1"/>
  <c r="L325" i="1"/>
  <c r="K325" i="1"/>
  <c r="J325" i="1"/>
  <c r="I325" i="1"/>
  <c r="H325" i="1"/>
  <c r="Q325" i="1" s="1"/>
  <c r="F325" i="1" s="1"/>
  <c r="G325" i="1"/>
  <c r="P324" i="1"/>
  <c r="O324" i="1"/>
  <c r="N324" i="1"/>
  <c r="M324" i="1"/>
  <c r="L324" i="1"/>
  <c r="K324" i="1"/>
  <c r="J324" i="1"/>
  <c r="I324" i="1"/>
  <c r="H324" i="1"/>
  <c r="Q324" i="1" s="1"/>
  <c r="F324" i="1" s="1"/>
  <c r="G324" i="1"/>
  <c r="P323" i="1"/>
  <c r="O323" i="1"/>
  <c r="N323" i="1"/>
  <c r="M323" i="1"/>
  <c r="L323" i="1"/>
  <c r="K323" i="1"/>
  <c r="J323" i="1"/>
  <c r="I323" i="1"/>
  <c r="H323" i="1"/>
  <c r="Q323" i="1" s="1"/>
  <c r="F323" i="1" s="1"/>
  <c r="G323" i="1"/>
  <c r="P322" i="1"/>
  <c r="O322" i="1"/>
  <c r="N322" i="1"/>
  <c r="M322" i="1"/>
  <c r="L322" i="1"/>
  <c r="K322" i="1"/>
  <c r="J322" i="1"/>
  <c r="I322" i="1"/>
  <c r="H322" i="1"/>
  <c r="G322" i="1"/>
  <c r="P321" i="1"/>
  <c r="O321" i="1"/>
  <c r="N321" i="1"/>
  <c r="M321" i="1"/>
  <c r="L321" i="1"/>
  <c r="K321" i="1"/>
  <c r="J321" i="1"/>
  <c r="I321" i="1"/>
  <c r="H321" i="1"/>
  <c r="Q321" i="1" s="1"/>
  <c r="F321" i="1" s="1"/>
  <c r="G321" i="1"/>
  <c r="P320" i="1"/>
  <c r="O320" i="1"/>
  <c r="N320" i="1"/>
  <c r="M320" i="1"/>
  <c r="L320" i="1"/>
  <c r="K320" i="1"/>
  <c r="J320" i="1"/>
  <c r="I320" i="1"/>
  <c r="H320" i="1"/>
  <c r="Q320" i="1" s="1"/>
  <c r="F320" i="1" s="1"/>
  <c r="G320" i="1"/>
  <c r="P319" i="1"/>
  <c r="O319" i="1"/>
  <c r="N319" i="1"/>
  <c r="M319" i="1"/>
  <c r="L319" i="1"/>
  <c r="K319" i="1"/>
  <c r="J319" i="1"/>
  <c r="I319" i="1"/>
  <c r="H319" i="1"/>
  <c r="Q319" i="1" s="1"/>
  <c r="F319" i="1" s="1"/>
  <c r="G319" i="1"/>
  <c r="P318" i="1"/>
  <c r="O318" i="1"/>
  <c r="N318" i="1"/>
  <c r="M318" i="1"/>
  <c r="L318" i="1"/>
  <c r="K318" i="1"/>
  <c r="J318" i="1"/>
  <c r="I318" i="1"/>
  <c r="H318" i="1"/>
  <c r="Q318" i="1" s="1"/>
  <c r="F318" i="1" s="1"/>
  <c r="G318" i="1"/>
  <c r="P317" i="1"/>
  <c r="O317" i="1"/>
  <c r="N317" i="1"/>
  <c r="M317" i="1"/>
  <c r="L317" i="1"/>
  <c r="K317" i="1"/>
  <c r="J317" i="1"/>
  <c r="I317" i="1"/>
  <c r="H317" i="1"/>
  <c r="Q317" i="1" s="1"/>
  <c r="F317" i="1" s="1"/>
  <c r="G317" i="1"/>
  <c r="P316" i="1"/>
  <c r="O316" i="1"/>
  <c r="N316" i="1"/>
  <c r="M316" i="1"/>
  <c r="L316" i="1"/>
  <c r="K316" i="1"/>
  <c r="J316" i="1"/>
  <c r="I316" i="1"/>
  <c r="H316" i="1"/>
  <c r="Q316" i="1" s="1"/>
  <c r="F316" i="1" s="1"/>
  <c r="G316" i="1"/>
  <c r="P315" i="1"/>
  <c r="O315" i="1"/>
  <c r="N315" i="1"/>
  <c r="M315" i="1"/>
  <c r="L315" i="1"/>
  <c r="K315" i="1"/>
  <c r="J315" i="1"/>
  <c r="I315" i="1"/>
  <c r="H315" i="1"/>
  <c r="Q315" i="1" s="1"/>
  <c r="F315" i="1" s="1"/>
  <c r="G315" i="1"/>
  <c r="P314" i="1"/>
  <c r="O314" i="1"/>
  <c r="N314" i="1"/>
  <c r="M314" i="1"/>
  <c r="L314" i="1"/>
  <c r="K314" i="1"/>
  <c r="J314" i="1"/>
  <c r="I314" i="1"/>
  <c r="H314" i="1"/>
  <c r="G314" i="1"/>
  <c r="P313" i="1"/>
  <c r="O313" i="1"/>
  <c r="N313" i="1"/>
  <c r="M313" i="1"/>
  <c r="L313" i="1"/>
  <c r="K313" i="1"/>
  <c r="J313" i="1"/>
  <c r="I313" i="1"/>
  <c r="H313" i="1"/>
  <c r="Q313" i="1" s="1"/>
  <c r="F313" i="1" s="1"/>
  <c r="G313" i="1"/>
  <c r="P312" i="1"/>
  <c r="O312" i="1"/>
  <c r="N312" i="1"/>
  <c r="M312" i="1"/>
  <c r="L312" i="1"/>
  <c r="K312" i="1"/>
  <c r="J312" i="1"/>
  <c r="I312" i="1"/>
  <c r="H312" i="1"/>
  <c r="Q312" i="1" s="1"/>
  <c r="F312" i="1" s="1"/>
  <c r="G312" i="1"/>
  <c r="P311" i="1"/>
  <c r="O311" i="1"/>
  <c r="N311" i="1"/>
  <c r="M311" i="1"/>
  <c r="L311" i="1"/>
  <c r="K311" i="1"/>
  <c r="J311" i="1"/>
  <c r="I311" i="1"/>
  <c r="H311" i="1"/>
  <c r="Q311" i="1" s="1"/>
  <c r="F311" i="1" s="1"/>
  <c r="G311" i="1"/>
  <c r="P310" i="1"/>
  <c r="O310" i="1"/>
  <c r="N310" i="1"/>
  <c r="M310" i="1"/>
  <c r="L310" i="1"/>
  <c r="K310" i="1"/>
  <c r="J310" i="1"/>
  <c r="I310" i="1"/>
  <c r="H310" i="1"/>
  <c r="Q310" i="1" s="1"/>
  <c r="F310" i="1" s="1"/>
  <c r="G310" i="1"/>
  <c r="P309" i="1"/>
  <c r="O309" i="1"/>
  <c r="N309" i="1"/>
  <c r="M309" i="1"/>
  <c r="L309" i="1"/>
  <c r="K309" i="1"/>
  <c r="J309" i="1"/>
  <c r="I309" i="1"/>
  <c r="H309" i="1"/>
  <c r="Q309" i="1" s="1"/>
  <c r="F309" i="1" s="1"/>
  <c r="G309" i="1"/>
  <c r="P308" i="1"/>
  <c r="O308" i="1"/>
  <c r="N308" i="1"/>
  <c r="M308" i="1"/>
  <c r="L308" i="1"/>
  <c r="K308" i="1"/>
  <c r="J308" i="1"/>
  <c r="I308" i="1"/>
  <c r="H308" i="1"/>
  <c r="Q308" i="1" s="1"/>
  <c r="F308" i="1" s="1"/>
  <c r="G308" i="1"/>
  <c r="P307" i="1"/>
  <c r="O307" i="1"/>
  <c r="N307" i="1"/>
  <c r="M307" i="1"/>
  <c r="L307" i="1"/>
  <c r="K307" i="1"/>
  <c r="J307" i="1"/>
  <c r="I307" i="1"/>
  <c r="H307" i="1"/>
  <c r="Q307" i="1" s="1"/>
  <c r="F307" i="1" s="1"/>
  <c r="G307" i="1"/>
  <c r="P306" i="1"/>
  <c r="O306" i="1"/>
  <c r="N306" i="1"/>
  <c r="M306" i="1"/>
  <c r="L306" i="1"/>
  <c r="K306" i="1"/>
  <c r="J306" i="1"/>
  <c r="I306" i="1"/>
  <c r="H306" i="1"/>
  <c r="G306" i="1"/>
  <c r="P305" i="1"/>
  <c r="O305" i="1"/>
  <c r="N305" i="1"/>
  <c r="M305" i="1"/>
  <c r="L305" i="1"/>
  <c r="K305" i="1"/>
  <c r="J305" i="1"/>
  <c r="I305" i="1"/>
  <c r="H305" i="1"/>
  <c r="Q305" i="1" s="1"/>
  <c r="F305" i="1" s="1"/>
  <c r="G305" i="1"/>
  <c r="P304" i="1"/>
  <c r="O304" i="1"/>
  <c r="N304" i="1"/>
  <c r="M304" i="1"/>
  <c r="L304" i="1"/>
  <c r="K304" i="1"/>
  <c r="J304" i="1"/>
  <c r="I304" i="1"/>
  <c r="H304" i="1"/>
  <c r="Q304" i="1" s="1"/>
  <c r="F304" i="1" s="1"/>
  <c r="G304" i="1"/>
  <c r="P303" i="1"/>
  <c r="O303" i="1"/>
  <c r="N303" i="1"/>
  <c r="M303" i="1"/>
  <c r="L303" i="1"/>
  <c r="K303" i="1"/>
  <c r="J303" i="1"/>
  <c r="I303" i="1"/>
  <c r="H303" i="1"/>
  <c r="Q303" i="1" s="1"/>
  <c r="G303" i="1"/>
  <c r="P302" i="1"/>
  <c r="O302" i="1"/>
  <c r="N302" i="1"/>
  <c r="M302" i="1"/>
  <c r="L302" i="1"/>
  <c r="K302" i="1"/>
  <c r="J302" i="1"/>
  <c r="I302" i="1"/>
  <c r="H302" i="1"/>
  <c r="Q302" i="1" s="1"/>
  <c r="F302" i="1" s="1"/>
  <c r="G302" i="1"/>
  <c r="P301" i="1"/>
  <c r="O301" i="1"/>
  <c r="N301" i="1"/>
  <c r="M301" i="1"/>
  <c r="L301" i="1"/>
  <c r="K301" i="1"/>
  <c r="J301" i="1"/>
  <c r="I301" i="1"/>
  <c r="H301" i="1"/>
  <c r="Q301" i="1" s="1"/>
  <c r="F301" i="1" s="1"/>
  <c r="G301" i="1"/>
  <c r="P300" i="1"/>
  <c r="O300" i="1"/>
  <c r="N300" i="1"/>
  <c r="M300" i="1"/>
  <c r="L300" i="1"/>
  <c r="K300" i="1"/>
  <c r="J300" i="1"/>
  <c r="I300" i="1"/>
  <c r="H300" i="1"/>
  <c r="Q300" i="1" s="1"/>
  <c r="F300" i="1" s="1"/>
  <c r="G300" i="1"/>
  <c r="P299" i="1"/>
  <c r="O299" i="1"/>
  <c r="N299" i="1"/>
  <c r="M299" i="1"/>
  <c r="L299" i="1"/>
  <c r="K299" i="1"/>
  <c r="J299" i="1"/>
  <c r="I299" i="1"/>
  <c r="H299" i="1"/>
  <c r="Q299" i="1" s="1"/>
  <c r="F299" i="1" s="1"/>
  <c r="G299" i="1"/>
  <c r="P298" i="1"/>
  <c r="O298" i="1"/>
  <c r="N298" i="1"/>
  <c r="M298" i="1"/>
  <c r="L298" i="1"/>
  <c r="K298" i="1"/>
  <c r="J298" i="1"/>
  <c r="I298" i="1"/>
  <c r="H298" i="1"/>
  <c r="G298" i="1"/>
  <c r="P297" i="1"/>
  <c r="O297" i="1"/>
  <c r="N297" i="1"/>
  <c r="M297" i="1"/>
  <c r="L297" i="1"/>
  <c r="K297" i="1"/>
  <c r="J297" i="1"/>
  <c r="I297" i="1"/>
  <c r="H297" i="1"/>
  <c r="Q297" i="1" s="1"/>
  <c r="F297" i="1" s="1"/>
  <c r="G297" i="1"/>
  <c r="P296" i="1"/>
  <c r="O296" i="1"/>
  <c r="N296" i="1"/>
  <c r="M296" i="1"/>
  <c r="L296" i="1"/>
  <c r="K296" i="1"/>
  <c r="J296" i="1"/>
  <c r="I296" i="1"/>
  <c r="H296" i="1"/>
  <c r="Q296" i="1" s="1"/>
  <c r="F296" i="1" s="1"/>
  <c r="G296" i="1"/>
  <c r="P295" i="1"/>
  <c r="O295" i="1"/>
  <c r="N295" i="1"/>
  <c r="M295" i="1"/>
  <c r="L295" i="1"/>
  <c r="K295" i="1"/>
  <c r="J295" i="1"/>
  <c r="I295" i="1"/>
  <c r="H295" i="1"/>
  <c r="Q295" i="1" s="1"/>
  <c r="F295" i="1" s="1"/>
  <c r="G295" i="1"/>
  <c r="P294" i="1"/>
  <c r="O294" i="1"/>
  <c r="N294" i="1"/>
  <c r="M294" i="1"/>
  <c r="L294" i="1"/>
  <c r="K294" i="1"/>
  <c r="J294" i="1"/>
  <c r="I294" i="1"/>
  <c r="H294" i="1"/>
  <c r="Q294" i="1" s="1"/>
  <c r="F294" i="1" s="1"/>
  <c r="G294" i="1"/>
  <c r="P293" i="1"/>
  <c r="O293" i="1"/>
  <c r="N293" i="1"/>
  <c r="M293" i="1"/>
  <c r="L293" i="1"/>
  <c r="K293" i="1"/>
  <c r="J293" i="1"/>
  <c r="I293" i="1"/>
  <c r="H293" i="1"/>
  <c r="Q293" i="1" s="1"/>
  <c r="F293" i="1" s="1"/>
  <c r="G293" i="1"/>
  <c r="P292" i="1"/>
  <c r="O292" i="1"/>
  <c r="N292" i="1"/>
  <c r="M292" i="1"/>
  <c r="L292" i="1"/>
  <c r="K292" i="1"/>
  <c r="J292" i="1"/>
  <c r="I292" i="1"/>
  <c r="H292" i="1"/>
  <c r="Q292" i="1" s="1"/>
  <c r="F292" i="1" s="1"/>
  <c r="G292" i="1"/>
  <c r="P291" i="1"/>
  <c r="O291" i="1"/>
  <c r="N291" i="1"/>
  <c r="M291" i="1"/>
  <c r="L291" i="1"/>
  <c r="K291" i="1"/>
  <c r="J291" i="1"/>
  <c r="I291" i="1"/>
  <c r="H291" i="1"/>
  <c r="Q291" i="1" s="1"/>
  <c r="F291" i="1" s="1"/>
  <c r="G291" i="1"/>
  <c r="P290" i="1"/>
  <c r="O290" i="1"/>
  <c r="N290" i="1"/>
  <c r="M290" i="1"/>
  <c r="L290" i="1"/>
  <c r="K290" i="1"/>
  <c r="J290" i="1"/>
  <c r="I290" i="1"/>
  <c r="H290" i="1"/>
  <c r="G290" i="1"/>
  <c r="P289" i="1"/>
  <c r="O289" i="1"/>
  <c r="N289" i="1"/>
  <c r="M289" i="1"/>
  <c r="L289" i="1"/>
  <c r="K289" i="1"/>
  <c r="J289" i="1"/>
  <c r="I289" i="1"/>
  <c r="H289" i="1"/>
  <c r="Q289" i="1" s="1"/>
  <c r="F289" i="1" s="1"/>
  <c r="G289" i="1"/>
  <c r="P288" i="1"/>
  <c r="O288" i="1"/>
  <c r="N288" i="1"/>
  <c r="M288" i="1"/>
  <c r="L288" i="1"/>
  <c r="K288" i="1"/>
  <c r="J288" i="1"/>
  <c r="I288" i="1"/>
  <c r="H288" i="1"/>
  <c r="Q288" i="1" s="1"/>
  <c r="F288" i="1" s="1"/>
  <c r="G288" i="1"/>
  <c r="P287" i="1"/>
  <c r="O287" i="1"/>
  <c r="N287" i="1"/>
  <c r="M287" i="1"/>
  <c r="L287" i="1"/>
  <c r="K287" i="1"/>
  <c r="J287" i="1"/>
  <c r="I287" i="1"/>
  <c r="H287" i="1"/>
  <c r="Q287" i="1" s="1"/>
  <c r="F287" i="1" s="1"/>
  <c r="G287" i="1"/>
  <c r="P286" i="1"/>
  <c r="O286" i="1"/>
  <c r="N286" i="1"/>
  <c r="M286" i="1"/>
  <c r="L286" i="1"/>
  <c r="K286" i="1"/>
  <c r="J286" i="1"/>
  <c r="I286" i="1"/>
  <c r="H286" i="1"/>
  <c r="Q286" i="1" s="1"/>
  <c r="F286" i="1" s="1"/>
  <c r="G286" i="1"/>
  <c r="P285" i="1"/>
  <c r="O285" i="1"/>
  <c r="N285" i="1"/>
  <c r="M285" i="1"/>
  <c r="L285" i="1"/>
  <c r="K285" i="1"/>
  <c r="J285" i="1"/>
  <c r="I285" i="1"/>
  <c r="H285" i="1"/>
  <c r="Q285" i="1" s="1"/>
  <c r="F285" i="1" s="1"/>
  <c r="G285" i="1"/>
  <c r="P284" i="1"/>
  <c r="O284" i="1"/>
  <c r="N284" i="1"/>
  <c r="M284" i="1"/>
  <c r="L284" i="1"/>
  <c r="K284" i="1"/>
  <c r="J284" i="1"/>
  <c r="I284" i="1"/>
  <c r="H284" i="1"/>
  <c r="Q284" i="1" s="1"/>
  <c r="F284" i="1" s="1"/>
  <c r="G284" i="1"/>
  <c r="P283" i="1"/>
  <c r="O283" i="1"/>
  <c r="N283" i="1"/>
  <c r="M283" i="1"/>
  <c r="L283" i="1"/>
  <c r="K283" i="1"/>
  <c r="J283" i="1"/>
  <c r="I283" i="1"/>
  <c r="H283" i="1"/>
  <c r="Q283" i="1" s="1"/>
  <c r="F283" i="1" s="1"/>
  <c r="G283" i="1"/>
  <c r="P282" i="1"/>
  <c r="O282" i="1"/>
  <c r="N282" i="1"/>
  <c r="M282" i="1"/>
  <c r="L282" i="1"/>
  <c r="K282" i="1"/>
  <c r="J282" i="1"/>
  <c r="I282" i="1"/>
  <c r="H282" i="1"/>
  <c r="G282" i="1"/>
  <c r="P281" i="1"/>
  <c r="O281" i="1"/>
  <c r="N281" i="1"/>
  <c r="M281" i="1"/>
  <c r="L281" i="1"/>
  <c r="K281" i="1"/>
  <c r="J281" i="1"/>
  <c r="I281" i="1"/>
  <c r="H281" i="1"/>
  <c r="Q281" i="1" s="1"/>
  <c r="F281" i="1" s="1"/>
  <c r="G281" i="1"/>
  <c r="P280" i="1"/>
  <c r="O280" i="1"/>
  <c r="N280" i="1"/>
  <c r="M280" i="1"/>
  <c r="L280" i="1"/>
  <c r="K280" i="1"/>
  <c r="J280" i="1"/>
  <c r="I280" i="1"/>
  <c r="H280" i="1"/>
  <c r="Q280" i="1" s="1"/>
  <c r="F280" i="1" s="1"/>
  <c r="G280" i="1"/>
  <c r="P279" i="1"/>
  <c r="O279" i="1"/>
  <c r="N279" i="1"/>
  <c r="M279" i="1"/>
  <c r="L279" i="1"/>
  <c r="K279" i="1"/>
  <c r="J279" i="1"/>
  <c r="I279" i="1"/>
  <c r="H279" i="1"/>
  <c r="Q279" i="1" s="1"/>
  <c r="F279" i="1" s="1"/>
  <c r="G279" i="1"/>
  <c r="P278" i="1"/>
  <c r="O278" i="1"/>
  <c r="N278" i="1"/>
  <c r="M278" i="1"/>
  <c r="L278" i="1"/>
  <c r="K278" i="1"/>
  <c r="J278" i="1"/>
  <c r="I278" i="1"/>
  <c r="H278" i="1"/>
  <c r="Q278" i="1" s="1"/>
  <c r="F278" i="1" s="1"/>
  <c r="G278" i="1"/>
  <c r="P277" i="1"/>
  <c r="O277" i="1"/>
  <c r="N277" i="1"/>
  <c r="M277" i="1"/>
  <c r="L277" i="1"/>
  <c r="K277" i="1"/>
  <c r="J277" i="1"/>
  <c r="I277" i="1"/>
  <c r="H277" i="1"/>
  <c r="Q277" i="1" s="1"/>
  <c r="F277" i="1" s="1"/>
  <c r="G277" i="1"/>
  <c r="P276" i="1"/>
  <c r="O276" i="1"/>
  <c r="N276" i="1"/>
  <c r="M276" i="1"/>
  <c r="L276" i="1"/>
  <c r="K276" i="1"/>
  <c r="J276" i="1"/>
  <c r="I276" i="1"/>
  <c r="H276" i="1"/>
  <c r="Q276" i="1" s="1"/>
  <c r="F276" i="1" s="1"/>
  <c r="G276" i="1"/>
  <c r="P275" i="1"/>
  <c r="O275" i="1"/>
  <c r="N275" i="1"/>
  <c r="M275" i="1"/>
  <c r="L275" i="1"/>
  <c r="K275" i="1"/>
  <c r="J275" i="1"/>
  <c r="I275" i="1"/>
  <c r="H275" i="1"/>
  <c r="Q275" i="1" s="1"/>
  <c r="F275" i="1" s="1"/>
  <c r="G275" i="1"/>
  <c r="P274" i="1"/>
  <c r="O274" i="1"/>
  <c r="N274" i="1"/>
  <c r="M274" i="1"/>
  <c r="L274" i="1"/>
  <c r="K274" i="1"/>
  <c r="J274" i="1"/>
  <c r="I274" i="1"/>
  <c r="H274" i="1"/>
  <c r="Q274" i="1" s="1"/>
  <c r="F274" i="1" s="1"/>
  <c r="G274" i="1"/>
  <c r="P273" i="1"/>
  <c r="O273" i="1"/>
  <c r="N273" i="1"/>
  <c r="M273" i="1"/>
  <c r="L273" i="1"/>
  <c r="K273" i="1"/>
  <c r="J273" i="1"/>
  <c r="I273" i="1"/>
  <c r="H273" i="1"/>
  <c r="Q273" i="1" s="1"/>
  <c r="F273" i="1" s="1"/>
  <c r="G273" i="1"/>
  <c r="P272" i="1"/>
  <c r="O272" i="1"/>
  <c r="N272" i="1"/>
  <c r="M272" i="1"/>
  <c r="L272" i="1"/>
  <c r="K272" i="1"/>
  <c r="J272" i="1"/>
  <c r="I272" i="1"/>
  <c r="H272" i="1"/>
  <c r="Q272" i="1" s="1"/>
  <c r="F272" i="1" s="1"/>
  <c r="G272" i="1"/>
  <c r="P271" i="1"/>
  <c r="O271" i="1"/>
  <c r="N271" i="1"/>
  <c r="M271" i="1"/>
  <c r="L271" i="1"/>
  <c r="K271" i="1"/>
  <c r="J271" i="1"/>
  <c r="I271" i="1"/>
  <c r="H271" i="1"/>
  <c r="Q271" i="1" s="1"/>
  <c r="F271" i="1" s="1"/>
  <c r="G271" i="1"/>
  <c r="P270" i="1"/>
  <c r="O270" i="1"/>
  <c r="N270" i="1"/>
  <c r="M270" i="1"/>
  <c r="L270" i="1"/>
  <c r="K270" i="1"/>
  <c r="J270" i="1"/>
  <c r="I270" i="1"/>
  <c r="H270" i="1"/>
  <c r="Q270" i="1" s="1"/>
  <c r="F270" i="1" s="1"/>
  <c r="G270" i="1"/>
  <c r="P269" i="1"/>
  <c r="O269" i="1"/>
  <c r="N269" i="1"/>
  <c r="M269" i="1"/>
  <c r="L269" i="1"/>
  <c r="K269" i="1"/>
  <c r="J269" i="1"/>
  <c r="I269" i="1"/>
  <c r="H269" i="1"/>
  <c r="Q269" i="1" s="1"/>
  <c r="F269" i="1" s="1"/>
  <c r="G269" i="1"/>
  <c r="P268" i="1"/>
  <c r="O268" i="1"/>
  <c r="N268" i="1"/>
  <c r="M268" i="1"/>
  <c r="L268" i="1"/>
  <c r="K268" i="1"/>
  <c r="J268" i="1"/>
  <c r="I268" i="1"/>
  <c r="H268" i="1"/>
  <c r="Q268" i="1" s="1"/>
  <c r="F268" i="1" s="1"/>
  <c r="G268" i="1"/>
  <c r="P267" i="1"/>
  <c r="O267" i="1"/>
  <c r="N267" i="1"/>
  <c r="M267" i="1"/>
  <c r="L267" i="1"/>
  <c r="K267" i="1"/>
  <c r="J267" i="1"/>
  <c r="I267" i="1"/>
  <c r="H267" i="1"/>
  <c r="Q267" i="1" s="1"/>
  <c r="F267" i="1" s="1"/>
  <c r="G267" i="1"/>
  <c r="P266" i="1"/>
  <c r="O266" i="1"/>
  <c r="N266" i="1"/>
  <c r="M266" i="1"/>
  <c r="L266" i="1"/>
  <c r="K266" i="1"/>
  <c r="J266" i="1"/>
  <c r="I266" i="1"/>
  <c r="H266" i="1"/>
  <c r="Q266" i="1" s="1"/>
  <c r="F266" i="1" s="1"/>
  <c r="G266" i="1"/>
  <c r="P265" i="1"/>
  <c r="O265" i="1"/>
  <c r="N265" i="1"/>
  <c r="M265" i="1"/>
  <c r="L265" i="1"/>
  <c r="K265" i="1"/>
  <c r="J265" i="1"/>
  <c r="I265" i="1"/>
  <c r="H265" i="1"/>
  <c r="Q265" i="1" s="1"/>
  <c r="F265" i="1" s="1"/>
  <c r="G265" i="1"/>
  <c r="P264" i="1"/>
  <c r="O264" i="1"/>
  <c r="N264" i="1"/>
  <c r="M264" i="1"/>
  <c r="L264" i="1"/>
  <c r="K264" i="1"/>
  <c r="J264" i="1"/>
  <c r="I264" i="1"/>
  <c r="H264" i="1"/>
  <c r="Q264" i="1" s="1"/>
  <c r="F264" i="1" s="1"/>
  <c r="G264" i="1"/>
  <c r="P263" i="1"/>
  <c r="O263" i="1"/>
  <c r="N263" i="1"/>
  <c r="M263" i="1"/>
  <c r="L263" i="1"/>
  <c r="K263" i="1"/>
  <c r="J263" i="1"/>
  <c r="I263" i="1"/>
  <c r="H263" i="1"/>
  <c r="Q263" i="1" s="1"/>
  <c r="F263" i="1" s="1"/>
  <c r="G263" i="1"/>
  <c r="P262" i="1"/>
  <c r="O262" i="1"/>
  <c r="N262" i="1"/>
  <c r="M262" i="1"/>
  <c r="L262" i="1"/>
  <c r="K262" i="1"/>
  <c r="J262" i="1"/>
  <c r="I262" i="1"/>
  <c r="H262" i="1"/>
  <c r="Q262" i="1" s="1"/>
  <c r="F262" i="1" s="1"/>
  <c r="G262" i="1"/>
  <c r="P261" i="1"/>
  <c r="O261" i="1"/>
  <c r="N261" i="1"/>
  <c r="M261" i="1"/>
  <c r="L261" i="1"/>
  <c r="K261" i="1"/>
  <c r="J261" i="1"/>
  <c r="I261" i="1"/>
  <c r="H261" i="1"/>
  <c r="Q261" i="1" s="1"/>
  <c r="F261" i="1" s="1"/>
  <c r="G261" i="1"/>
  <c r="P260" i="1"/>
  <c r="O260" i="1"/>
  <c r="N260" i="1"/>
  <c r="M260" i="1"/>
  <c r="L260" i="1"/>
  <c r="K260" i="1"/>
  <c r="J260" i="1"/>
  <c r="I260" i="1"/>
  <c r="H260" i="1"/>
  <c r="Q260" i="1" s="1"/>
  <c r="F260" i="1" s="1"/>
  <c r="G260" i="1"/>
  <c r="P259" i="1"/>
  <c r="O259" i="1"/>
  <c r="N259" i="1"/>
  <c r="M259" i="1"/>
  <c r="L259" i="1"/>
  <c r="K259" i="1"/>
  <c r="J259" i="1"/>
  <c r="I259" i="1"/>
  <c r="H259" i="1"/>
  <c r="Q259" i="1" s="1"/>
  <c r="F259" i="1" s="1"/>
  <c r="G259" i="1"/>
  <c r="P258" i="1"/>
  <c r="O258" i="1"/>
  <c r="N258" i="1"/>
  <c r="M258" i="1"/>
  <c r="L258" i="1"/>
  <c r="K258" i="1"/>
  <c r="J258" i="1"/>
  <c r="I258" i="1"/>
  <c r="H258" i="1"/>
  <c r="Q258" i="1" s="1"/>
  <c r="F258" i="1" s="1"/>
  <c r="G258" i="1"/>
  <c r="P257" i="1"/>
  <c r="O257" i="1"/>
  <c r="N257" i="1"/>
  <c r="M257" i="1"/>
  <c r="L257" i="1"/>
  <c r="K257" i="1"/>
  <c r="J257" i="1"/>
  <c r="I257" i="1"/>
  <c r="H257" i="1"/>
  <c r="Q257" i="1" s="1"/>
  <c r="F257" i="1" s="1"/>
  <c r="G257" i="1"/>
  <c r="P256" i="1"/>
  <c r="O256" i="1"/>
  <c r="N256" i="1"/>
  <c r="M256" i="1"/>
  <c r="L256" i="1"/>
  <c r="K256" i="1"/>
  <c r="J256" i="1"/>
  <c r="I256" i="1"/>
  <c r="H256" i="1"/>
  <c r="Q256" i="1" s="1"/>
  <c r="F256" i="1" s="1"/>
  <c r="G256" i="1"/>
  <c r="P255" i="1"/>
  <c r="O255" i="1"/>
  <c r="N255" i="1"/>
  <c r="M255" i="1"/>
  <c r="L255" i="1"/>
  <c r="K255" i="1"/>
  <c r="J255" i="1"/>
  <c r="I255" i="1"/>
  <c r="H255" i="1"/>
  <c r="Q255" i="1" s="1"/>
  <c r="F255" i="1" s="1"/>
  <c r="G255" i="1"/>
  <c r="P254" i="1"/>
  <c r="O254" i="1"/>
  <c r="N254" i="1"/>
  <c r="M254" i="1"/>
  <c r="L254" i="1"/>
  <c r="K254" i="1"/>
  <c r="J254" i="1"/>
  <c r="I254" i="1"/>
  <c r="H254" i="1"/>
  <c r="Q254" i="1" s="1"/>
  <c r="F254" i="1" s="1"/>
  <c r="G254" i="1"/>
  <c r="P253" i="1"/>
  <c r="O253" i="1"/>
  <c r="N253" i="1"/>
  <c r="M253" i="1"/>
  <c r="L253" i="1"/>
  <c r="K253" i="1"/>
  <c r="J253" i="1"/>
  <c r="I253" i="1"/>
  <c r="H253" i="1"/>
  <c r="Q253" i="1" s="1"/>
  <c r="F253" i="1" s="1"/>
  <c r="G253" i="1"/>
  <c r="P252" i="1"/>
  <c r="O252" i="1"/>
  <c r="N252" i="1"/>
  <c r="M252" i="1"/>
  <c r="L252" i="1"/>
  <c r="K252" i="1"/>
  <c r="J252" i="1"/>
  <c r="I252" i="1"/>
  <c r="H252" i="1"/>
  <c r="Q252" i="1" s="1"/>
  <c r="F252" i="1" s="1"/>
  <c r="G252" i="1"/>
  <c r="P251" i="1"/>
  <c r="O251" i="1"/>
  <c r="N251" i="1"/>
  <c r="M251" i="1"/>
  <c r="L251" i="1"/>
  <c r="K251" i="1"/>
  <c r="J251" i="1"/>
  <c r="I251" i="1"/>
  <c r="H251" i="1"/>
  <c r="Q251" i="1" s="1"/>
  <c r="F251" i="1" s="1"/>
  <c r="G251" i="1"/>
  <c r="P250" i="1"/>
  <c r="O250" i="1"/>
  <c r="N250" i="1"/>
  <c r="M250" i="1"/>
  <c r="L250" i="1"/>
  <c r="K250" i="1"/>
  <c r="J250" i="1"/>
  <c r="I250" i="1"/>
  <c r="H250" i="1"/>
  <c r="Q250" i="1" s="1"/>
  <c r="F250" i="1" s="1"/>
  <c r="G250" i="1"/>
  <c r="P249" i="1"/>
  <c r="O249" i="1"/>
  <c r="N249" i="1"/>
  <c r="M249" i="1"/>
  <c r="L249" i="1"/>
  <c r="K249" i="1"/>
  <c r="J249" i="1"/>
  <c r="I249" i="1"/>
  <c r="H249" i="1"/>
  <c r="Q249" i="1" s="1"/>
  <c r="F249" i="1" s="1"/>
  <c r="G249" i="1"/>
  <c r="P248" i="1"/>
  <c r="O248" i="1"/>
  <c r="N248" i="1"/>
  <c r="M248" i="1"/>
  <c r="L248" i="1"/>
  <c r="K248" i="1"/>
  <c r="J248" i="1"/>
  <c r="I248" i="1"/>
  <c r="H248" i="1"/>
  <c r="Q248" i="1" s="1"/>
  <c r="F248" i="1" s="1"/>
  <c r="G248" i="1"/>
  <c r="P247" i="1"/>
  <c r="O247" i="1"/>
  <c r="N247" i="1"/>
  <c r="M247" i="1"/>
  <c r="L247" i="1"/>
  <c r="K247" i="1"/>
  <c r="J247" i="1"/>
  <c r="I247" i="1"/>
  <c r="H247" i="1"/>
  <c r="Q247" i="1" s="1"/>
  <c r="F247" i="1" s="1"/>
  <c r="G247" i="1"/>
  <c r="P246" i="1"/>
  <c r="O246" i="1"/>
  <c r="N246" i="1"/>
  <c r="M246" i="1"/>
  <c r="L246" i="1"/>
  <c r="K246" i="1"/>
  <c r="J246" i="1"/>
  <c r="I246" i="1"/>
  <c r="H246" i="1"/>
  <c r="Q246" i="1" s="1"/>
  <c r="F246" i="1" s="1"/>
  <c r="G246" i="1"/>
  <c r="P245" i="1"/>
  <c r="O245" i="1"/>
  <c r="N245" i="1"/>
  <c r="M245" i="1"/>
  <c r="L245" i="1"/>
  <c r="K245" i="1"/>
  <c r="J245" i="1"/>
  <c r="I245" i="1"/>
  <c r="H245" i="1"/>
  <c r="Q245" i="1" s="1"/>
  <c r="F245" i="1" s="1"/>
  <c r="G245" i="1"/>
  <c r="P244" i="1"/>
  <c r="O244" i="1"/>
  <c r="N244" i="1"/>
  <c r="M244" i="1"/>
  <c r="L244" i="1"/>
  <c r="K244" i="1"/>
  <c r="J244" i="1"/>
  <c r="I244" i="1"/>
  <c r="H244" i="1"/>
  <c r="Q244" i="1" s="1"/>
  <c r="F244" i="1" s="1"/>
  <c r="G244" i="1"/>
  <c r="P243" i="1"/>
  <c r="O243" i="1"/>
  <c r="N243" i="1"/>
  <c r="M243" i="1"/>
  <c r="L243" i="1"/>
  <c r="K243" i="1"/>
  <c r="J243" i="1"/>
  <c r="I243" i="1"/>
  <c r="H243" i="1"/>
  <c r="Q243" i="1" s="1"/>
  <c r="F243" i="1" s="1"/>
  <c r="G243" i="1"/>
  <c r="P242" i="1"/>
  <c r="O242" i="1"/>
  <c r="N242" i="1"/>
  <c r="M242" i="1"/>
  <c r="L242" i="1"/>
  <c r="K242" i="1"/>
  <c r="J242" i="1"/>
  <c r="I242" i="1"/>
  <c r="H242" i="1"/>
  <c r="Q242" i="1" s="1"/>
  <c r="F242" i="1" s="1"/>
  <c r="G242" i="1"/>
  <c r="P241" i="1"/>
  <c r="O241" i="1"/>
  <c r="N241" i="1"/>
  <c r="M241" i="1"/>
  <c r="L241" i="1"/>
  <c r="K241" i="1"/>
  <c r="J241" i="1"/>
  <c r="I241" i="1"/>
  <c r="H241" i="1"/>
  <c r="Q241" i="1" s="1"/>
  <c r="F241" i="1" s="1"/>
  <c r="G241" i="1"/>
  <c r="P240" i="1"/>
  <c r="O240" i="1"/>
  <c r="N240" i="1"/>
  <c r="M240" i="1"/>
  <c r="L240" i="1"/>
  <c r="K240" i="1"/>
  <c r="J240" i="1"/>
  <c r="I240" i="1"/>
  <c r="H240" i="1"/>
  <c r="Q240" i="1" s="1"/>
  <c r="F240" i="1" s="1"/>
  <c r="G240" i="1"/>
  <c r="P239" i="1"/>
  <c r="O239" i="1"/>
  <c r="N239" i="1"/>
  <c r="M239" i="1"/>
  <c r="L239" i="1"/>
  <c r="K239" i="1"/>
  <c r="J239" i="1"/>
  <c r="I239" i="1"/>
  <c r="H239" i="1"/>
  <c r="Q239" i="1" s="1"/>
  <c r="F239" i="1" s="1"/>
  <c r="G239" i="1"/>
  <c r="P238" i="1"/>
  <c r="O238" i="1"/>
  <c r="N238" i="1"/>
  <c r="M238" i="1"/>
  <c r="L238" i="1"/>
  <c r="K238" i="1"/>
  <c r="J238" i="1"/>
  <c r="I238" i="1"/>
  <c r="H238" i="1"/>
  <c r="Q238" i="1" s="1"/>
  <c r="F238" i="1" s="1"/>
  <c r="G238" i="1"/>
  <c r="P237" i="1"/>
  <c r="O237" i="1"/>
  <c r="N237" i="1"/>
  <c r="M237" i="1"/>
  <c r="L237" i="1"/>
  <c r="K237" i="1"/>
  <c r="J237" i="1"/>
  <c r="I237" i="1"/>
  <c r="H237" i="1"/>
  <c r="Q237" i="1" s="1"/>
  <c r="F237" i="1" s="1"/>
  <c r="G237" i="1"/>
  <c r="P236" i="1"/>
  <c r="O236" i="1"/>
  <c r="N236" i="1"/>
  <c r="M236" i="1"/>
  <c r="L236" i="1"/>
  <c r="K236" i="1"/>
  <c r="J236" i="1"/>
  <c r="I236" i="1"/>
  <c r="H236" i="1"/>
  <c r="Q236" i="1" s="1"/>
  <c r="F236" i="1" s="1"/>
  <c r="G236" i="1"/>
  <c r="P235" i="1"/>
  <c r="O235" i="1"/>
  <c r="N235" i="1"/>
  <c r="M235" i="1"/>
  <c r="L235" i="1"/>
  <c r="K235" i="1"/>
  <c r="J235" i="1"/>
  <c r="I235" i="1"/>
  <c r="H235" i="1"/>
  <c r="G235" i="1"/>
  <c r="P234" i="1"/>
  <c r="O234" i="1"/>
  <c r="N234" i="1"/>
  <c r="M234" i="1"/>
  <c r="L234" i="1"/>
  <c r="K234" i="1"/>
  <c r="J234" i="1"/>
  <c r="I234" i="1"/>
  <c r="H234" i="1"/>
  <c r="Q234" i="1" s="1"/>
  <c r="F234" i="1" s="1"/>
  <c r="G234" i="1"/>
  <c r="P233" i="1"/>
  <c r="O233" i="1"/>
  <c r="N233" i="1"/>
  <c r="M233" i="1"/>
  <c r="L233" i="1"/>
  <c r="K233" i="1"/>
  <c r="J233" i="1"/>
  <c r="I233" i="1"/>
  <c r="H233" i="1"/>
  <c r="Q233" i="1" s="1"/>
  <c r="F233" i="1" s="1"/>
  <c r="G233" i="1"/>
  <c r="P232" i="1"/>
  <c r="O232" i="1"/>
  <c r="N232" i="1"/>
  <c r="M232" i="1"/>
  <c r="L232" i="1"/>
  <c r="K232" i="1"/>
  <c r="J232" i="1"/>
  <c r="I232" i="1"/>
  <c r="H232" i="1"/>
  <c r="Q232" i="1" s="1"/>
  <c r="F232" i="1" s="1"/>
  <c r="G232" i="1"/>
  <c r="P231" i="1"/>
  <c r="O231" i="1"/>
  <c r="N231" i="1"/>
  <c r="M231" i="1"/>
  <c r="L231" i="1"/>
  <c r="K231" i="1"/>
  <c r="J231" i="1"/>
  <c r="I231" i="1"/>
  <c r="H231" i="1"/>
  <c r="Q231" i="1" s="1"/>
  <c r="F231" i="1" s="1"/>
  <c r="G231" i="1"/>
  <c r="P230" i="1"/>
  <c r="O230" i="1"/>
  <c r="N230" i="1"/>
  <c r="M230" i="1"/>
  <c r="L230" i="1"/>
  <c r="K230" i="1"/>
  <c r="J230" i="1"/>
  <c r="I230" i="1"/>
  <c r="H230" i="1"/>
  <c r="G230" i="1"/>
  <c r="P229" i="1"/>
  <c r="O229" i="1"/>
  <c r="N229" i="1"/>
  <c r="M229" i="1"/>
  <c r="L229" i="1"/>
  <c r="K229" i="1"/>
  <c r="J229" i="1"/>
  <c r="I229" i="1"/>
  <c r="H229" i="1"/>
  <c r="Q229" i="1" s="1"/>
  <c r="F229" i="1" s="1"/>
  <c r="G229" i="1"/>
  <c r="F343" i="1" l="1"/>
  <c r="F351" i="1"/>
  <c r="F359" i="1"/>
  <c r="F367" i="1"/>
  <c r="F375" i="1"/>
  <c r="Q383" i="1"/>
  <c r="F383" i="1" s="1"/>
  <c r="Q282" i="1"/>
  <c r="F282" i="1" s="1"/>
  <c r="Q290" i="1"/>
  <c r="F290" i="1" s="1"/>
  <c r="Q298" i="1"/>
  <c r="F298" i="1" s="1"/>
  <c r="Q306" i="1"/>
  <c r="F306" i="1" s="1"/>
  <c r="Q314" i="1"/>
  <c r="F314" i="1" s="1"/>
  <c r="Q322" i="1"/>
  <c r="F322" i="1" s="1"/>
  <c r="Q330" i="1"/>
  <c r="F330" i="1" s="1"/>
  <c r="Q338" i="1"/>
  <c r="F338" i="1" s="1"/>
  <c r="F303" i="1"/>
  <c r="Q235" i="1"/>
  <c r="F235" i="1" s="1"/>
  <c r="Q387" i="1"/>
  <c r="F387" i="1" s="1"/>
  <c r="F379" i="1"/>
  <c r="Q347" i="1"/>
  <c r="F347" i="1" s="1"/>
  <c r="Q355" i="1"/>
  <c r="F355" i="1" s="1"/>
  <c r="Q363" i="1"/>
  <c r="F363" i="1" s="1"/>
  <c r="Q371" i="1"/>
  <c r="F371" i="1" s="1"/>
  <c r="Q230" i="1"/>
  <c r="F230" i="1" s="1"/>
  <c r="Q390" i="1"/>
  <c r="F390" i="1" s="1"/>
  <c r="Q394" i="1"/>
  <c r="F394" i="1" s="1"/>
  <c r="Q398" i="1"/>
  <c r="F398" i="1" s="1"/>
  <c r="Q389" i="1"/>
  <c r="F389" i="1" s="1"/>
  <c r="Q393" i="1"/>
  <c r="F393" i="1" s="1"/>
  <c r="Q340" i="1"/>
  <c r="F340" i="1" s="1"/>
  <c r="Q380" i="1"/>
  <c r="F380" i="1" s="1"/>
  <c r="Q384" i="1"/>
  <c r="F384" i="1" s="1"/>
  <c r="Q388" i="1"/>
  <c r="F388" i="1" s="1"/>
  <c r="Q392" i="1"/>
  <c r="F392" i="1" s="1"/>
  <c r="Q396" i="1"/>
  <c r="F396" i="1" s="1"/>
  <c r="Q400" i="1"/>
  <c r="F400" i="1" s="1"/>
  <c r="A3" i="1" l="1" a="1"/>
  <c r="D224" i="1" l="1"/>
  <c r="D216" i="1"/>
  <c r="D208" i="1"/>
  <c r="D200" i="1"/>
  <c r="D192" i="1"/>
  <c r="D184" i="1"/>
  <c r="D176" i="1"/>
  <c r="D168" i="1"/>
  <c r="D160" i="1"/>
  <c r="D152" i="1"/>
  <c r="D144" i="1"/>
  <c r="D136" i="1"/>
  <c r="D128" i="1"/>
  <c r="D120" i="1"/>
  <c r="D112" i="1"/>
  <c r="D104" i="1"/>
  <c r="D96" i="1"/>
  <c r="D88" i="1"/>
  <c r="D80" i="1"/>
  <c r="D72" i="1"/>
  <c r="D64" i="1"/>
  <c r="D56" i="1"/>
  <c r="D48" i="1"/>
  <c r="D40" i="1"/>
  <c r="D32" i="1"/>
  <c r="D24" i="1"/>
  <c r="D16" i="1"/>
  <c r="D8" i="1"/>
  <c r="D223" i="1"/>
  <c r="D215" i="1"/>
  <c r="D207" i="1"/>
  <c r="D199" i="1"/>
  <c r="D191" i="1"/>
  <c r="D183" i="1"/>
  <c r="D175" i="1"/>
  <c r="D167" i="1"/>
  <c r="D159" i="1"/>
  <c r="D151" i="1"/>
  <c r="D143" i="1"/>
  <c r="D135" i="1"/>
  <c r="D127" i="1"/>
  <c r="D119" i="1"/>
  <c r="D111" i="1"/>
  <c r="D103" i="1"/>
  <c r="D95" i="1"/>
  <c r="D87" i="1"/>
  <c r="D79" i="1"/>
  <c r="D71" i="1"/>
  <c r="D63" i="1"/>
  <c r="D55" i="1"/>
  <c r="D47" i="1"/>
  <c r="D39" i="1"/>
  <c r="D31" i="1"/>
  <c r="D23" i="1"/>
  <c r="D15" i="1"/>
  <c r="D7" i="1"/>
  <c r="D222" i="1"/>
  <c r="D214" i="1"/>
  <c r="D206" i="1"/>
  <c r="D198" i="1"/>
  <c r="D190" i="1"/>
  <c r="D182" i="1"/>
  <c r="D174" i="1"/>
  <c r="D166" i="1"/>
  <c r="D158" i="1"/>
  <c r="D150" i="1"/>
  <c r="D142" i="1"/>
  <c r="D134" i="1"/>
  <c r="D126" i="1"/>
  <c r="D118" i="1"/>
  <c r="D110" i="1"/>
  <c r="D102" i="1"/>
  <c r="D94" i="1"/>
  <c r="D86" i="1"/>
  <c r="D78" i="1"/>
  <c r="D70" i="1"/>
  <c r="D62" i="1"/>
  <c r="D54" i="1"/>
  <c r="D46" i="1"/>
  <c r="D38" i="1"/>
  <c r="D30" i="1"/>
  <c r="D22" i="1"/>
  <c r="D14" i="1"/>
  <c r="D6" i="1"/>
  <c r="D228" i="1"/>
  <c r="D220" i="1"/>
  <c r="D212" i="1"/>
  <c r="D204" i="1"/>
  <c r="D196" i="1"/>
  <c r="D188" i="1"/>
  <c r="D180" i="1"/>
  <c r="D172" i="1"/>
  <c r="D164" i="1"/>
  <c r="D156" i="1"/>
  <c r="D148" i="1"/>
  <c r="D140" i="1"/>
  <c r="D132" i="1"/>
  <c r="D124" i="1"/>
  <c r="D116" i="1"/>
  <c r="D108" i="1"/>
  <c r="D100" i="1"/>
  <c r="D92" i="1"/>
  <c r="D84" i="1"/>
  <c r="D76" i="1"/>
  <c r="D68" i="1"/>
  <c r="D60" i="1"/>
  <c r="D52" i="1"/>
  <c r="D44" i="1"/>
  <c r="D36" i="1"/>
  <c r="D28" i="1"/>
  <c r="D20" i="1"/>
  <c r="D12" i="1"/>
  <c r="D4" i="1"/>
  <c r="D227" i="1"/>
  <c r="D219" i="1"/>
  <c r="D211" i="1"/>
  <c r="D203" i="1"/>
  <c r="D195" i="1"/>
  <c r="D187" i="1"/>
  <c r="D179" i="1"/>
  <c r="D171" i="1"/>
  <c r="D163" i="1"/>
  <c r="D155" i="1"/>
  <c r="D147" i="1"/>
  <c r="D139" i="1"/>
  <c r="D131" i="1"/>
  <c r="D123" i="1"/>
  <c r="D115" i="1"/>
  <c r="D107" i="1"/>
  <c r="D99" i="1"/>
  <c r="D91" i="1"/>
  <c r="D83" i="1"/>
  <c r="D75" i="1"/>
  <c r="D67" i="1"/>
  <c r="D59" i="1"/>
  <c r="D51" i="1"/>
  <c r="D43" i="1"/>
  <c r="D35" i="1"/>
  <c r="D27" i="1"/>
  <c r="D19" i="1"/>
  <c r="D11" i="1"/>
  <c r="D226" i="1"/>
  <c r="D218" i="1"/>
  <c r="D210" i="1"/>
  <c r="D202" i="1"/>
  <c r="D194" i="1"/>
  <c r="D186" i="1"/>
  <c r="D178" i="1"/>
  <c r="D170" i="1"/>
  <c r="D162" i="1"/>
  <c r="D154" i="1"/>
  <c r="D146" i="1"/>
  <c r="D138" i="1"/>
  <c r="D130" i="1"/>
  <c r="D122" i="1"/>
  <c r="D114" i="1"/>
  <c r="D106" i="1"/>
  <c r="D98" i="1"/>
  <c r="D90" i="1"/>
  <c r="D82" i="1"/>
  <c r="D74" i="1"/>
  <c r="D66" i="1"/>
  <c r="D58" i="1"/>
  <c r="D50" i="1"/>
  <c r="D42" i="1"/>
  <c r="D34" i="1"/>
  <c r="D26" i="1"/>
  <c r="D18" i="1"/>
  <c r="D209" i="1"/>
  <c r="D177" i="1"/>
  <c r="D145" i="1"/>
  <c r="D113" i="1"/>
  <c r="D81" i="1"/>
  <c r="D49" i="1"/>
  <c r="D17" i="1"/>
  <c r="D37" i="1"/>
  <c r="D85" i="1"/>
  <c r="D205" i="1"/>
  <c r="D173" i="1"/>
  <c r="D141" i="1"/>
  <c r="D109" i="1"/>
  <c r="D77" i="1"/>
  <c r="D45" i="1"/>
  <c r="D13" i="1"/>
  <c r="D201" i="1"/>
  <c r="D169" i="1"/>
  <c r="D137" i="1"/>
  <c r="D105" i="1"/>
  <c r="D73" i="1"/>
  <c r="D41" i="1"/>
  <c r="D10" i="1"/>
  <c r="D197" i="1"/>
  <c r="D165" i="1"/>
  <c r="D133" i="1"/>
  <c r="D101" i="1"/>
  <c r="D69" i="1"/>
  <c r="D9" i="1"/>
  <c r="D213" i="1"/>
  <c r="D117" i="1"/>
  <c r="D21" i="1"/>
  <c r="D225" i="1"/>
  <c r="D193" i="1"/>
  <c r="D161" i="1"/>
  <c r="D129" i="1"/>
  <c r="D97" i="1"/>
  <c r="D65" i="1"/>
  <c r="D33" i="1"/>
  <c r="D5" i="1"/>
  <c r="D221" i="1"/>
  <c r="D189" i="1"/>
  <c r="D157" i="1"/>
  <c r="D125" i="1"/>
  <c r="D93" i="1"/>
  <c r="D61" i="1"/>
  <c r="D29" i="1"/>
  <c r="D217" i="1"/>
  <c r="D185" i="1"/>
  <c r="D153" i="1"/>
  <c r="D121" i="1"/>
  <c r="D89" i="1"/>
  <c r="D57" i="1"/>
  <c r="D25" i="1"/>
  <c r="D181" i="1"/>
  <c r="D149" i="1"/>
  <c r="D53" i="1"/>
  <c r="N228" i="1"/>
  <c r="L227" i="1"/>
  <c r="J226" i="1"/>
  <c r="P225" i="1"/>
  <c r="H225" i="1"/>
  <c r="N224" i="1"/>
  <c r="L223" i="1"/>
  <c r="J222" i="1"/>
  <c r="P221" i="1"/>
  <c r="H221" i="1"/>
  <c r="N220" i="1"/>
  <c r="L219" i="1"/>
  <c r="J218" i="1"/>
  <c r="P217" i="1"/>
  <c r="H217" i="1"/>
  <c r="N216" i="1"/>
  <c r="L215" i="1"/>
  <c r="J214" i="1"/>
  <c r="P213" i="1"/>
  <c r="H213" i="1"/>
  <c r="N212" i="1"/>
  <c r="L211" i="1"/>
  <c r="J210" i="1"/>
  <c r="P209" i="1"/>
  <c r="H209" i="1"/>
  <c r="N208" i="1"/>
  <c r="L207" i="1"/>
  <c r="J206" i="1"/>
  <c r="P205" i="1"/>
  <c r="H205" i="1"/>
  <c r="N204" i="1"/>
  <c r="L203" i="1"/>
  <c r="J202" i="1"/>
  <c r="P201" i="1"/>
  <c r="H201" i="1"/>
  <c r="N200" i="1"/>
  <c r="L199" i="1"/>
  <c r="J198" i="1"/>
  <c r="P197" i="1"/>
  <c r="H197" i="1"/>
  <c r="N196" i="1"/>
  <c r="L195" i="1"/>
  <c r="J194" i="1"/>
  <c r="P193" i="1"/>
  <c r="H193" i="1"/>
  <c r="N192" i="1"/>
  <c r="L191" i="1"/>
  <c r="J190" i="1"/>
  <c r="P189" i="1"/>
  <c r="H189" i="1"/>
  <c r="N188" i="1"/>
  <c r="L187" i="1"/>
  <c r="J186" i="1"/>
  <c r="P185" i="1"/>
  <c r="H185" i="1"/>
  <c r="N184" i="1"/>
  <c r="P228" i="1"/>
  <c r="H228" i="1"/>
  <c r="N227" i="1"/>
  <c r="L226" i="1"/>
  <c r="J225" i="1"/>
  <c r="P224" i="1"/>
  <c r="H224" i="1"/>
  <c r="N223" i="1"/>
  <c r="L222" i="1"/>
  <c r="J221" i="1"/>
  <c r="P220" i="1"/>
  <c r="H220" i="1"/>
  <c r="N219" i="1"/>
  <c r="L218" i="1"/>
  <c r="J217" i="1"/>
  <c r="P216" i="1"/>
  <c r="H216" i="1"/>
  <c r="N215" i="1"/>
  <c r="L214" i="1"/>
  <c r="J213" i="1"/>
  <c r="P212" i="1"/>
  <c r="H212" i="1"/>
  <c r="N211" i="1"/>
  <c r="L210" i="1"/>
  <c r="J209" i="1"/>
  <c r="P208" i="1"/>
  <c r="H208" i="1"/>
  <c r="N207" i="1"/>
  <c r="L206" i="1"/>
  <c r="J228" i="1"/>
  <c r="M227" i="1"/>
  <c r="P226" i="1"/>
  <c r="I225" i="1"/>
  <c r="L224" i="1"/>
  <c r="P223" i="1"/>
  <c r="H222" i="1"/>
  <c r="L221" i="1"/>
  <c r="O220" i="1"/>
  <c r="H219" i="1"/>
  <c r="K218" i="1"/>
  <c r="N217" i="1"/>
  <c r="G216" i="1"/>
  <c r="J215" i="1"/>
  <c r="N214" i="1"/>
  <c r="J212" i="1"/>
  <c r="M211" i="1"/>
  <c r="P210" i="1"/>
  <c r="I209" i="1"/>
  <c r="L208" i="1"/>
  <c r="P207" i="1"/>
  <c r="H206" i="1"/>
  <c r="L205" i="1"/>
  <c r="H204" i="1"/>
  <c r="M203" i="1"/>
  <c r="H202" i="1"/>
  <c r="M201" i="1"/>
  <c r="I200" i="1"/>
  <c r="N199" i="1"/>
  <c r="I198" i="1"/>
  <c r="N197" i="1"/>
  <c r="J196" i="1"/>
  <c r="O195" i="1"/>
  <c r="K194" i="1"/>
  <c r="O193" i="1"/>
  <c r="K192" i="1"/>
  <c r="P191" i="1"/>
  <c r="G191" i="1"/>
  <c r="L190" i="1"/>
  <c r="G189" i="1"/>
  <c r="L188" i="1"/>
  <c r="H187" i="1"/>
  <c r="M186" i="1"/>
  <c r="I185" i="1"/>
  <c r="M184" i="1"/>
  <c r="J183" i="1"/>
  <c r="P182" i="1"/>
  <c r="H182" i="1"/>
  <c r="N181" i="1"/>
  <c r="L180" i="1"/>
  <c r="J179" i="1"/>
  <c r="P178" i="1"/>
  <c r="H178" i="1"/>
  <c r="N177" i="1"/>
  <c r="L176" i="1"/>
  <c r="J175" i="1"/>
  <c r="P174" i="1"/>
  <c r="H174" i="1"/>
  <c r="N173" i="1"/>
  <c r="L172" i="1"/>
  <c r="J171" i="1"/>
  <c r="P170" i="1"/>
  <c r="H170" i="1"/>
  <c r="N169" i="1"/>
  <c r="L168" i="1"/>
  <c r="J167" i="1"/>
  <c r="P166" i="1"/>
  <c r="H166" i="1"/>
  <c r="N165" i="1"/>
  <c r="L164" i="1"/>
  <c r="J163" i="1"/>
  <c r="P162" i="1"/>
  <c r="H162" i="1"/>
  <c r="N161" i="1"/>
  <c r="L160" i="1"/>
  <c r="J159" i="1"/>
  <c r="P158" i="1"/>
  <c r="H158" i="1"/>
  <c r="N157" i="1"/>
  <c r="L156" i="1"/>
  <c r="J155" i="1"/>
  <c r="P154" i="1"/>
  <c r="H154" i="1"/>
  <c r="N153" i="1"/>
  <c r="L152" i="1"/>
  <c r="J151" i="1"/>
  <c r="O228" i="1"/>
  <c r="H227" i="1"/>
  <c r="K226" i="1"/>
  <c r="N225" i="1"/>
  <c r="G224" i="1"/>
  <c r="J223" i="1"/>
  <c r="N222" i="1"/>
  <c r="J220" i="1"/>
  <c r="M219" i="1"/>
  <c r="P218" i="1"/>
  <c r="I217" i="1"/>
  <c r="L216" i="1"/>
  <c r="P215" i="1"/>
  <c r="H214" i="1"/>
  <c r="L213" i="1"/>
  <c r="O212" i="1"/>
  <c r="H211" i="1"/>
  <c r="K210" i="1"/>
  <c r="N209" i="1"/>
  <c r="G208" i="1"/>
  <c r="J207" i="1"/>
  <c r="N206" i="1"/>
  <c r="L228" i="1"/>
  <c r="P227" i="1"/>
  <c r="H226" i="1"/>
  <c r="L225" i="1"/>
  <c r="O224" i="1"/>
  <c r="H223" i="1"/>
  <c r="K222" i="1"/>
  <c r="N221" i="1"/>
  <c r="G220" i="1"/>
  <c r="J219" i="1"/>
  <c r="N218" i="1"/>
  <c r="J216" i="1"/>
  <c r="M215" i="1"/>
  <c r="P214" i="1"/>
  <c r="I213" i="1"/>
  <c r="L212" i="1"/>
  <c r="P211" i="1"/>
  <c r="H210" i="1"/>
  <c r="L209" i="1"/>
  <c r="O208" i="1"/>
  <c r="H207" i="1"/>
  <c r="K206" i="1"/>
  <c r="N205" i="1"/>
  <c r="J204" i="1"/>
  <c r="O203" i="1"/>
  <c r="K202" i="1"/>
  <c r="O201" i="1"/>
  <c r="K200" i="1"/>
  <c r="P199" i="1"/>
  <c r="G199" i="1"/>
  <c r="L198" i="1"/>
  <c r="G197" i="1"/>
  <c r="L196" i="1"/>
  <c r="H195" i="1"/>
  <c r="M194" i="1"/>
  <c r="I193" i="1"/>
  <c r="M192" i="1"/>
  <c r="I191" i="1"/>
  <c r="N190" i="1"/>
  <c r="J189" i="1"/>
  <c r="O188" i="1"/>
  <c r="J187" i="1"/>
  <c r="O186" i="1"/>
  <c r="K185" i="1"/>
  <c r="P184" i="1"/>
  <c r="G184" i="1"/>
  <c r="L183" i="1"/>
  <c r="J182" i="1"/>
  <c r="P181" i="1"/>
  <c r="H181" i="1"/>
  <c r="N180" i="1"/>
  <c r="L179" i="1"/>
  <c r="J178" i="1"/>
  <c r="P177" i="1"/>
  <c r="H177" i="1"/>
  <c r="N176" i="1"/>
  <c r="L175" i="1"/>
  <c r="J174" i="1"/>
  <c r="K228" i="1"/>
  <c r="I227" i="1"/>
  <c r="M223" i="1"/>
  <c r="I222" i="1"/>
  <c r="G221" i="1"/>
  <c r="O218" i="1"/>
  <c r="L217" i="1"/>
  <c r="I216" i="1"/>
  <c r="G215" i="1"/>
  <c r="O213" i="1"/>
  <c r="M212" i="1"/>
  <c r="J211" i="1"/>
  <c r="G210" i="1"/>
  <c r="O207" i="1"/>
  <c r="M206" i="1"/>
  <c r="J205" i="1"/>
  <c r="L204" i="1"/>
  <c r="N203" i="1"/>
  <c r="O202" i="1"/>
  <c r="G200" i="1"/>
  <c r="I199" i="1"/>
  <c r="K198" i="1"/>
  <c r="L197" i="1"/>
  <c r="O196" i="1"/>
  <c r="P195" i="1"/>
  <c r="G193" i="1"/>
  <c r="I192" i="1"/>
  <c r="K191" i="1"/>
  <c r="M190" i="1"/>
  <c r="N189" i="1"/>
  <c r="H186" i="1"/>
  <c r="J185" i="1"/>
  <c r="K184" i="1"/>
  <c r="N183" i="1"/>
  <c r="J181" i="1"/>
  <c r="M180" i="1"/>
  <c r="P179" i="1"/>
  <c r="I178" i="1"/>
  <c r="L177" i="1"/>
  <c r="P176" i="1"/>
  <c r="H175" i="1"/>
  <c r="L174" i="1"/>
  <c r="P173" i="1"/>
  <c r="G173" i="1"/>
  <c r="K172" i="1"/>
  <c r="P171" i="1"/>
  <c r="G171" i="1"/>
  <c r="L170" i="1"/>
  <c r="H169" i="1"/>
  <c r="M168" i="1"/>
  <c r="H167" i="1"/>
  <c r="M166" i="1"/>
  <c r="I165" i="1"/>
  <c r="N164" i="1"/>
  <c r="I163" i="1"/>
  <c r="N162" i="1"/>
  <c r="J161" i="1"/>
  <c r="O160" i="1"/>
  <c r="K159" i="1"/>
  <c r="O158" i="1"/>
  <c r="K157" i="1"/>
  <c r="I228" i="1"/>
  <c r="G227" i="1"/>
  <c r="M224" i="1"/>
  <c r="K223" i="1"/>
  <c r="G222" i="1"/>
  <c r="P219" i="1"/>
  <c r="M218" i="1"/>
  <c r="K217" i="1"/>
  <c r="N213" i="1"/>
  <c r="K212" i="1"/>
  <c r="I211" i="1"/>
  <c r="M207" i="1"/>
  <c r="I206" i="1"/>
  <c r="I205" i="1"/>
  <c r="K204" i="1"/>
  <c r="K203" i="1"/>
  <c r="N202" i="1"/>
  <c r="H199" i="1"/>
  <c r="H198" i="1"/>
  <c r="K197" i="1"/>
  <c r="M196" i="1"/>
  <c r="N195" i="1"/>
  <c r="P194" i="1"/>
  <c r="H192" i="1"/>
  <c r="J191" i="1"/>
  <c r="K190" i="1"/>
  <c r="M189" i="1"/>
  <c r="P188" i="1"/>
  <c r="P187" i="1"/>
  <c r="G186" i="1"/>
  <c r="G185" i="1"/>
  <c r="J184" i="1"/>
  <c r="M183" i="1"/>
  <c r="O182" i="1"/>
  <c r="I181" i="1"/>
  <c r="K180" i="1"/>
  <c r="O179" i="1"/>
  <c r="G178" i="1"/>
  <c r="K177" i="1"/>
  <c r="O176" i="1"/>
  <c r="G175" i="1"/>
  <c r="K174" i="1"/>
  <c r="O173" i="1"/>
  <c r="J172" i="1"/>
  <c r="O171" i="1"/>
  <c r="K170" i="1"/>
  <c r="P169" i="1"/>
  <c r="G169" i="1"/>
  <c r="K168" i="1"/>
  <c r="P167" i="1"/>
  <c r="G167" i="1"/>
  <c r="L166" i="1"/>
  <c r="H165" i="1"/>
  <c r="M164" i="1"/>
  <c r="H163" i="1"/>
  <c r="O227" i="1"/>
  <c r="M226" i="1"/>
  <c r="G225" i="1"/>
  <c r="P222" i="1"/>
  <c r="M221" i="1"/>
  <c r="K220" i="1"/>
  <c r="G219" i="1"/>
  <c r="O216" i="1"/>
  <c r="K215" i="1"/>
  <c r="I214" i="1"/>
  <c r="N210" i="1"/>
  <c r="K209" i="1"/>
  <c r="I208" i="1"/>
  <c r="O205" i="1"/>
  <c r="P204" i="1"/>
  <c r="G203" i="1"/>
  <c r="G202" i="1"/>
  <c r="J201" i="1"/>
  <c r="L200" i="1"/>
  <c r="M199" i="1"/>
  <c r="O198" i="1"/>
  <c r="G196" i="1"/>
  <c r="I195" i="1"/>
  <c r="I194" i="1"/>
  <c r="L193" i="1"/>
  <c r="O192" i="1"/>
  <c r="O191" i="1"/>
  <c r="I188" i="1"/>
  <c r="K187" i="1"/>
  <c r="L186" i="1"/>
  <c r="N185" i="1"/>
  <c r="G183" i="1"/>
  <c r="K182" i="1"/>
  <c r="M181" i="1"/>
  <c r="G180" i="1"/>
  <c r="I179" i="1"/>
  <c r="M178" i="1"/>
  <c r="I176" i="1"/>
  <c r="M175" i="1"/>
  <c r="O174" i="1"/>
  <c r="J173" i="1"/>
  <c r="O172" i="1"/>
  <c r="K171" i="1"/>
  <c r="O170" i="1"/>
  <c r="K169" i="1"/>
  <c r="P168" i="1"/>
  <c r="G168" i="1"/>
  <c r="L167" i="1"/>
  <c r="G166" i="1"/>
  <c r="L165" i="1"/>
  <c r="H164" i="1"/>
  <c r="M163" i="1"/>
  <c r="I162" i="1"/>
  <c r="M161" i="1"/>
  <c r="I160" i="1"/>
  <c r="N159" i="1"/>
  <c r="J227" i="1"/>
  <c r="K225" i="1"/>
  <c r="I223" i="1"/>
  <c r="K221" i="1"/>
  <c r="K219" i="1"/>
  <c r="M217" i="1"/>
  <c r="O215" i="1"/>
  <c r="M213" i="1"/>
  <c r="O211" i="1"/>
  <c r="O209" i="1"/>
  <c r="I204" i="1"/>
  <c r="L201" i="1"/>
  <c r="H200" i="1"/>
  <c r="P198" i="1"/>
  <c r="J197" i="1"/>
  <c r="N194" i="1"/>
  <c r="J193" i="1"/>
  <c r="I190" i="1"/>
  <c r="N187" i="1"/>
  <c r="I186" i="1"/>
  <c r="K183" i="1"/>
  <c r="I182" i="1"/>
  <c r="N178" i="1"/>
  <c r="J177" i="1"/>
  <c r="H176" i="1"/>
  <c r="P172" i="1"/>
  <c r="N171" i="1"/>
  <c r="N170" i="1"/>
  <c r="M169" i="1"/>
  <c r="N168" i="1"/>
  <c r="M167" i="1"/>
  <c r="K166" i="1"/>
  <c r="K165" i="1"/>
  <c r="J164" i="1"/>
  <c r="K163" i="1"/>
  <c r="K162" i="1"/>
  <c r="L161" i="1"/>
  <c r="N160" i="1"/>
  <c r="P159" i="1"/>
  <c r="G158" i="1"/>
  <c r="J157" i="1"/>
  <c r="O156" i="1"/>
  <c r="K155" i="1"/>
  <c r="O154" i="1"/>
  <c r="K153" i="1"/>
  <c r="P152" i="1"/>
  <c r="G152" i="1"/>
  <c r="L151" i="1"/>
  <c r="I150" i="1"/>
  <c r="O149" i="1"/>
  <c r="G149" i="1"/>
  <c r="M148" i="1"/>
  <c r="K147" i="1"/>
  <c r="I146" i="1"/>
  <c r="O145" i="1"/>
  <c r="G145" i="1"/>
  <c r="M144" i="1"/>
  <c r="K143" i="1"/>
  <c r="I142" i="1"/>
  <c r="O141" i="1"/>
  <c r="G141" i="1"/>
  <c r="M140" i="1"/>
  <c r="K139" i="1"/>
  <c r="I138" i="1"/>
  <c r="O137" i="1"/>
  <c r="G137" i="1"/>
  <c r="M136" i="1"/>
  <c r="K135" i="1"/>
  <c r="I134" i="1"/>
  <c r="O133" i="1"/>
  <c r="G133" i="1"/>
  <c r="M132" i="1"/>
  <c r="K131" i="1"/>
  <c r="I130" i="1"/>
  <c r="O129" i="1"/>
  <c r="G129" i="1"/>
  <c r="M128" i="1"/>
  <c r="K127" i="1"/>
  <c r="I126" i="1"/>
  <c r="O125" i="1"/>
  <c r="G125" i="1"/>
  <c r="M124" i="1"/>
  <c r="K123" i="1"/>
  <c r="I122" i="1"/>
  <c r="O121" i="1"/>
  <c r="G121" i="1"/>
  <c r="M120" i="1"/>
  <c r="K119" i="1"/>
  <c r="I118" i="1"/>
  <c r="O117" i="1"/>
  <c r="G117" i="1"/>
  <c r="M116" i="1"/>
  <c r="K115" i="1"/>
  <c r="I114" i="1"/>
  <c r="O113" i="1"/>
  <c r="G113" i="1"/>
  <c r="M112" i="1"/>
  <c r="K111" i="1"/>
  <c r="I110" i="1"/>
  <c r="O109" i="1"/>
  <c r="G109" i="1"/>
  <c r="M108" i="1"/>
  <c r="K107" i="1"/>
  <c r="I106" i="1"/>
  <c r="O105" i="1"/>
  <c r="G105" i="1"/>
  <c r="M104" i="1"/>
  <c r="K103" i="1"/>
  <c r="I102" i="1"/>
  <c r="O101" i="1"/>
  <c r="G101" i="1"/>
  <c r="M100" i="1"/>
  <c r="G223" i="1"/>
  <c r="I221" i="1"/>
  <c r="I219" i="1"/>
  <c r="G217" i="1"/>
  <c r="I215" i="1"/>
  <c r="K213" i="1"/>
  <c r="K211" i="1"/>
  <c r="M209" i="1"/>
  <c r="K207" i="1"/>
  <c r="M205" i="1"/>
  <c r="G204" i="1"/>
  <c r="P202" i="1"/>
  <c r="K201" i="1"/>
  <c r="N198" i="1"/>
  <c r="I197" i="1"/>
  <c r="L194" i="1"/>
  <c r="N191" i="1"/>
  <c r="H190" i="1"/>
  <c r="M187" i="1"/>
  <c r="O184" i="1"/>
  <c r="I183" i="1"/>
  <c r="G182" i="1"/>
  <c r="N179" i="1"/>
  <c r="L178" i="1"/>
  <c r="I177" i="1"/>
  <c r="G176" i="1"/>
  <c r="M173" i="1"/>
  <c r="N172" i="1"/>
  <c r="M171" i="1"/>
  <c r="M170" i="1"/>
  <c r="L169" i="1"/>
  <c r="J168" i="1"/>
  <c r="K167" i="1"/>
  <c r="J166" i="1"/>
  <c r="J165" i="1"/>
  <c r="I164" i="1"/>
  <c r="G163" i="1"/>
  <c r="J162" i="1"/>
  <c r="K161" i="1"/>
  <c r="M160" i="1"/>
  <c r="O159" i="1"/>
  <c r="I157" i="1"/>
  <c r="N156" i="1"/>
  <c r="I155" i="1"/>
  <c r="N154" i="1"/>
  <c r="J153" i="1"/>
  <c r="O152" i="1"/>
  <c r="K151" i="1"/>
  <c r="P150" i="1"/>
  <c r="H150" i="1"/>
  <c r="N149" i="1"/>
  <c r="L148" i="1"/>
  <c r="J147" i="1"/>
  <c r="P146" i="1"/>
  <c r="H146" i="1"/>
  <c r="N145" i="1"/>
  <c r="L144" i="1"/>
  <c r="J143" i="1"/>
  <c r="P142" i="1"/>
  <c r="H142" i="1"/>
  <c r="N141" i="1"/>
  <c r="L140" i="1"/>
  <c r="J139" i="1"/>
  <c r="P138" i="1"/>
  <c r="H138" i="1"/>
  <c r="N137" i="1"/>
  <c r="L136" i="1"/>
  <c r="J135" i="1"/>
  <c r="P134" i="1"/>
  <c r="H134" i="1"/>
  <c r="N133" i="1"/>
  <c r="L132" i="1"/>
  <c r="J131" i="1"/>
  <c r="P130" i="1"/>
  <c r="H130" i="1"/>
  <c r="N129" i="1"/>
  <c r="L128" i="1"/>
  <c r="J127" i="1"/>
  <c r="P126" i="1"/>
  <c r="H126" i="1"/>
  <c r="N125" i="1"/>
  <c r="L124" i="1"/>
  <c r="J123" i="1"/>
  <c r="P122" i="1"/>
  <c r="H122" i="1"/>
  <c r="N121" i="1"/>
  <c r="L120" i="1"/>
  <c r="M228" i="1"/>
  <c r="N226" i="1"/>
  <c r="K224" i="1"/>
  <c r="O222" i="1"/>
  <c r="M220" i="1"/>
  <c r="O214" i="1"/>
  <c r="G207" i="1"/>
  <c r="G205" i="1"/>
  <c r="L202" i="1"/>
  <c r="G201" i="1"/>
  <c r="O199" i="1"/>
  <c r="G198" i="1"/>
  <c r="K195" i="1"/>
  <c r="G194" i="1"/>
  <c r="P192" i="1"/>
  <c r="H191" i="1"/>
  <c r="K188" i="1"/>
  <c r="G187" i="1"/>
  <c r="O185" i="1"/>
  <c r="I184" i="1"/>
  <c r="O180" i="1"/>
  <c r="K179" i="1"/>
  <c r="O175" i="1"/>
  <c r="G228" i="1"/>
  <c r="I226" i="1"/>
  <c r="J224" i="1"/>
  <c r="M222" i="1"/>
  <c r="L220" i="1"/>
  <c r="I218" i="1"/>
  <c r="M216" i="1"/>
  <c r="M214" i="1"/>
  <c r="O210" i="1"/>
  <c r="M208" i="1"/>
  <c r="P206" i="1"/>
  <c r="P203" i="1"/>
  <c r="I202" i="1"/>
  <c r="P200" i="1"/>
  <c r="K199" i="1"/>
  <c r="P196" i="1"/>
  <c r="J195" i="1"/>
  <c r="L192" i="1"/>
  <c r="O189" i="1"/>
  <c r="J188" i="1"/>
  <c r="M185" i="1"/>
  <c r="H184" i="1"/>
  <c r="G226" i="1"/>
  <c r="I224" i="1"/>
  <c r="I220" i="1"/>
  <c r="H218" i="1"/>
  <c r="K216" i="1"/>
  <c r="K214" i="1"/>
  <c r="I212" i="1"/>
  <c r="M210" i="1"/>
  <c r="K208" i="1"/>
  <c r="O206" i="1"/>
  <c r="J203" i="1"/>
  <c r="O200" i="1"/>
  <c r="J199" i="1"/>
  <c r="K196" i="1"/>
  <c r="G195" i="1"/>
  <c r="N193" i="1"/>
  <c r="J192" i="1"/>
  <c r="L189" i="1"/>
  <c r="H188" i="1"/>
  <c r="P186" i="1"/>
  <c r="L185" i="1"/>
  <c r="N182" i="1"/>
  <c r="L181" i="1"/>
  <c r="I180" i="1"/>
  <c r="G179" i="1"/>
  <c r="M176" i="1"/>
  <c r="K175" i="1"/>
  <c r="G174" i="1"/>
  <c r="H173" i="1"/>
  <c r="G172" i="1"/>
  <c r="P165" i="1"/>
  <c r="P164" i="1"/>
  <c r="O163" i="1"/>
  <c r="O162" i="1"/>
  <c r="G160" i="1"/>
  <c r="H159" i="1"/>
  <c r="K158" i="1"/>
  <c r="O157" i="1"/>
  <c r="I156" i="1"/>
  <c r="N155" i="1"/>
  <c r="J154" i="1"/>
  <c r="O153" i="1"/>
  <c r="J152" i="1"/>
  <c r="O151" i="1"/>
  <c r="L150" i="1"/>
  <c r="J149" i="1"/>
  <c r="P148" i="1"/>
  <c r="H148" i="1"/>
  <c r="N147" i="1"/>
  <c r="L146" i="1"/>
  <c r="J145" i="1"/>
  <c r="P144" i="1"/>
  <c r="H144" i="1"/>
  <c r="N143" i="1"/>
  <c r="L142" i="1"/>
  <c r="J141" i="1"/>
  <c r="P140" i="1"/>
  <c r="H140" i="1"/>
  <c r="N139" i="1"/>
  <c r="L138" i="1"/>
  <c r="O217" i="1"/>
  <c r="G212" i="1"/>
  <c r="I207" i="1"/>
  <c r="H203" i="1"/>
  <c r="M195" i="1"/>
  <c r="G188" i="1"/>
  <c r="L184" i="1"/>
  <c r="O181" i="1"/>
  <c r="H179" i="1"/>
  <c r="M174" i="1"/>
  <c r="H171" i="1"/>
  <c r="J169" i="1"/>
  <c r="O167" i="1"/>
  <c r="K164" i="1"/>
  <c r="I161" i="1"/>
  <c r="M158" i="1"/>
  <c r="L157" i="1"/>
  <c r="J156" i="1"/>
  <c r="H155" i="1"/>
  <c r="I154" i="1"/>
  <c r="H153" i="1"/>
  <c r="H152" i="1"/>
  <c r="G151" i="1"/>
  <c r="G150" i="1"/>
  <c r="I149" i="1"/>
  <c r="J148" i="1"/>
  <c r="L147" i="1"/>
  <c r="M146" i="1"/>
  <c r="M145" i="1"/>
  <c r="O144" i="1"/>
  <c r="P143" i="1"/>
  <c r="G140" i="1"/>
  <c r="H139" i="1"/>
  <c r="J138" i="1"/>
  <c r="L137" i="1"/>
  <c r="P136" i="1"/>
  <c r="H135" i="1"/>
  <c r="L134" i="1"/>
  <c r="P133" i="1"/>
  <c r="H132" i="1"/>
  <c r="L131" i="1"/>
  <c r="N130" i="1"/>
  <c r="H129" i="1"/>
  <c r="J128" i="1"/>
  <c r="N127" i="1"/>
  <c r="J125" i="1"/>
  <c r="N124" i="1"/>
  <c r="P123" i="1"/>
  <c r="J122" i="1"/>
  <c r="L121" i="1"/>
  <c r="P120" i="1"/>
  <c r="I119" i="1"/>
  <c r="N118" i="1"/>
  <c r="K227" i="1"/>
  <c r="G206" i="1"/>
  <c r="M202" i="1"/>
  <c r="M191" i="1"/>
  <c r="O187" i="1"/>
  <c r="P183" i="1"/>
  <c r="K181" i="1"/>
  <c r="K176" i="1"/>
  <c r="I174" i="1"/>
  <c r="M172" i="1"/>
  <c r="I169" i="1"/>
  <c r="N167" i="1"/>
  <c r="G164" i="1"/>
  <c r="M162" i="1"/>
  <c r="H161" i="1"/>
  <c r="L158" i="1"/>
  <c r="H157" i="1"/>
  <c r="O225" i="1"/>
  <c r="I210" i="1"/>
  <c r="K205" i="1"/>
  <c r="N201" i="1"/>
  <c r="O197" i="1"/>
  <c r="H194" i="1"/>
  <c r="O190" i="1"/>
  <c r="N186" i="1"/>
  <c r="H183" i="1"/>
  <c r="P180" i="1"/>
  <c r="K178" i="1"/>
  <c r="P175" i="1"/>
  <c r="H172" i="1"/>
  <c r="J170" i="1"/>
  <c r="M165" i="1"/>
  <c r="P163" i="1"/>
  <c r="G162" i="1"/>
  <c r="L159" i="1"/>
  <c r="I158" i="1"/>
  <c r="P151" i="1"/>
  <c r="O150" i="1"/>
  <c r="G147" i="1"/>
  <c r="G146" i="1"/>
  <c r="I145" i="1"/>
  <c r="J144" i="1"/>
  <c r="L143" i="1"/>
  <c r="M142" i="1"/>
  <c r="M141" i="1"/>
  <c r="O140" i="1"/>
  <c r="P139" i="1"/>
  <c r="I137" i="1"/>
  <c r="K136" i="1"/>
  <c r="O135" i="1"/>
  <c r="G134" i="1"/>
  <c r="K133" i="1"/>
  <c r="O132" i="1"/>
  <c r="G131" i="1"/>
  <c r="K130" i="1"/>
  <c r="M129" i="1"/>
  <c r="G128" i="1"/>
  <c r="I127" i="1"/>
  <c r="M126" i="1"/>
  <c r="I124" i="1"/>
  <c r="M123" i="1"/>
  <c r="O122" i="1"/>
  <c r="I121" i="1"/>
  <c r="K120" i="1"/>
  <c r="O119" i="1"/>
  <c r="K118" i="1"/>
  <c r="P117" i="1"/>
  <c r="M225" i="1"/>
  <c r="H215" i="1"/>
  <c r="O204" i="1"/>
  <c r="I201" i="1"/>
  <c r="M197" i="1"/>
  <c r="M193" i="1"/>
  <c r="G190" i="1"/>
  <c r="K186" i="1"/>
  <c r="J180" i="1"/>
  <c r="N175" i="1"/>
  <c r="L173" i="1"/>
  <c r="I170" i="1"/>
  <c r="O168" i="1"/>
  <c r="G165" i="1"/>
  <c r="N163" i="1"/>
  <c r="P160" i="1"/>
  <c r="I159" i="1"/>
  <c r="P155" i="1"/>
  <c r="P153" i="1"/>
  <c r="N152" i="1"/>
  <c r="N151" i="1"/>
  <c r="N150" i="1"/>
  <c r="P149" i="1"/>
  <c r="H145" i="1"/>
  <c r="I144" i="1"/>
  <c r="I143" i="1"/>
  <c r="K142" i="1"/>
  <c r="L141" i="1"/>
  <c r="N140" i="1"/>
  <c r="O139" i="1"/>
  <c r="O138" i="1"/>
  <c r="H137" i="1"/>
  <c r="J136" i="1"/>
  <c r="N135" i="1"/>
  <c r="J133" i="1"/>
  <c r="N132" i="1"/>
  <c r="P131" i="1"/>
  <c r="J130" i="1"/>
  <c r="L129" i="1"/>
  <c r="P128" i="1"/>
  <c r="H127" i="1"/>
  <c r="L126" i="1"/>
  <c r="P125" i="1"/>
  <c r="H124" i="1"/>
  <c r="L123" i="1"/>
  <c r="N122" i="1"/>
  <c r="H121" i="1"/>
  <c r="J120" i="1"/>
  <c r="N119" i="1"/>
  <c r="J118" i="1"/>
  <c r="N117" i="1"/>
  <c r="J116" i="1"/>
  <c r="O115" i="1"/>
  <c r="K114" i="1"/>
  <c r="P113" i="1"/>
  <c r="K112" i="1"/>
  <c r="P111" i="1"/>
  <c r="G111" i="1"/>
  <c r="L110" i="1"/>
  <c r="O219" i="1"/>
  <c r="G214" i="1"/>
  <c r="G209" i="1"/>
  <c r="M204" i="1"/>
  <c r="M200" i="1"/>
  <c r="K193" i="1"/>
  <c r="K189" i="1"/>
  <c r="M182" i="1"/>
  <c r="H180" i="1"/>
  <c r="O177" i="1"/>
  <c r="I175" i="1"/>
  <c r="K173" i="1"/>
  <c r="G170" i="1"/>
  <c r="I168" i="1"/>
  <c r="O166" i="1"/>
  <c r="L163" i="1"/>
  <c r="K160" i="1"/>
  <c r="G159" i="1"/>
  <c r="P156" i="1"/>
  <c r="O155" i="1"/>
  <c r="M154" i="1"/>
  <c r="M153" i="1"/>
  <c r="M152" i="1"/>
  <c r="M151" i="1"/>
  <c r="M150" i="1"/>
  <c r="M149" i="1"/>
  <c r="O148" i="1"/>
  <c r="P147" i="1"/>
  <c r="G144" i="1"/>
  <c r="H143" i="1"/>
  <c r="J142" i="1"/>
  <c r="K141" i="1"/>
  <c r="K140" i="1"/>
  <c r="M139" i="1"/>
  <c r="N138" i="1"/>
  <c r="J208" i="1"/>
  <c r="J200" i="1"/>
  <c r="I196" i="1"/>
  <c r="O226" i="1"/>
  <c r="P190" i="1"/>
  <c r="I166" i="1"/>
  <c r="P161" i="1"/>
  <c r="J158" i="1"/>
  <c r="M155" i="1"/>
  <c r="L153" i="1"/>
  <c r="I151" i="1"/>
  <c r="L149" i="1"/>
  <c r="O147" i="1"/>
  <c r="G142" i="1"/>
  <c r="J140" i="1"/>
  <c r="M138" i="1"/>
  <c r="N134" i="1"/>
  <c r="L133" i="1"/>
  <c r="I132" i="1"/>
  <c r="N128" i="1"/>
  <c r="L127" i="1"/>
  <c r="G126" i="1"/>
  <c r="O123" i="1"/>
  <c r="L122" i="1"/>
  <c r="J121" i="1"/>
  <c r="G120" i="1"/>
  <c r="I116" i="1"/>
  <c r="M115" i="1"/>
  <c r="P114" i="1"/>
  <c r="J113" i="1"/>
  <c r="N112" i="1"/>
  <c r="J110" i="1"/>
  <c r="M109" i="1"/>
  <c r="I108" i="1"/>
  <c r="N107" i="1"/>
  <c r="J106" i="1"/>
  <c r="N105" i="1"/>
  <c r="J104" i="1"/>
  <c r="O103" i="1"/>
  <c r="K102" i="1"/>
  <c r="P101" i="1"/>
  <c r="K100" i="1"/>
  <c r="P99" i="1"/>
  <c r="H99" i="1"/>
  <c r="N98" i="1"/>
  <c r="L97" i="1"/>
  <c r="J96" i="1"/>
  <c r="P95" i="1"/>
  <c r="H95" i="1"/>
  <c r="N94" i="1"/>
  <c r="L93" i="1"/>
  <c r="J92" i="1"/>
  <c r="P91" i="1"/>
  <c r="H91" i="1"/>
  <c r="N90" i="1"/>
  <c r="L89" i="1"/>
  <c r="O223" i="1"/>
  <c r="I203" i="1"/>
  <c r="I189" i="1"/>
  <c r="G181" i="1"/>
  <c r="N174" i="1"/>
  <c r="O165" i="1"/>
  <c r="O161" i="1"/>
  <c r="P157" i="1"/>
  <c r="L155" i="1"/>
  <c r="I153" i="1"/>
  <c r="H151" i="1"/>
  <c r="K149" i="1"/>
  <c r="M147" i="1"/>
  <c r="P145" i="1"/>
  <c r="I140" i="1"/>
  <c r="K138" i="1"/>
  <c r="P135" i="1"/>
  <c r="M134" i="1"/>
  <c r="I133" i="1"/>
  <c r="G132" i="1"/>
  <c r="P129" i="1"/>
  <c r="K128" i="1"/>
  <c r="G127" i="1"/>
  <c r="P124" i="1"/>
  <c r="N123" i="1"/>
  <c r="K122" i="1"/>
  <c r="P118" i="1"/>
  <c r="H116" i="1"/>
  <c r="L115" i="1"/>
  <c r="O114" i="1"/>
  <c r="I113" i="1"/>
  <c r="L112" i="1"/>
  <c r="O111" i="1"/>
  <c r="H110" i="1"/>
  <c r="L109" i="1"/>
  <c r="H108" i="1"/>
  <c r="M107" i="1"/>
  <c r="H106" i="1"/>
  <c r="M105" i="1"/>
  <c r="I104" i="1"/>
  <c r="N103" i="1"/>
  <c r="J102" i="1"/>
  <c r="N101" i="1"/>
  <c r="J100" i="1"/>
  <c r="O99" i="1"/>
  <c r="G99" i="1"/>
  <c r="G218" i="1"/>
  <c r="I187" i="1"/>
  <c r="M179" i="1"/>
  <c r="I173" i="1"/>
  <c r="O164" i="1"/>
  <c r="J160" i="1"/>
  <c r="G157" i="1"/>
  <c r="H147" i="1"/>
  <c r="K145" i="1"/>
  <c r="M143" i="1"/>
  <c r="P141" i="1"/>
  <c r="O136" i="1"/>
  <c r="L135" i="1"/>
  <c r="J134" i="1"/>
  <c r="O131" i="1"/>
  <c r="M130" i="1"/>
  <c r="J129" i="1"/>
  <c r="H128" i="1"/>
  <c r="M125" i="1"/>
  <c r="K124" i="1"/>
  <c r="H123" i="1"/>
  <c r="M119" i="1"/>
  <c r="M118" i="1"/>
  <c r="L117" i="1"/>
  <c r="P116" i="1"/>
  <c r="I115" i="1"/>
  <c r="M114" i="1"/>
  <c r="I112" i="1"/>
  <c r="M111" i="1"/>
  <c r="P110" i="1"/>
  <c r="J109" i="1"/>
  <c r="O108" i="1"/>
  <c r="J107" i="1"/>
  <c r="O106" i="1"/>
  <c r="K105" i="1"/>
  <c r="P104" i="1"/>
  <c r="G104" i="1"/>
  <c r="L103" i="1"/>
  <c r="P102" i="1"/>
  <c r="G102" i="1"/>
  <c r="L101" i="1"/>
  <c r="H100" i="1"/>
  <c r="M99" i="1"/>
  <c r="K98" i="1"/>
  <c r="I97" i="1"/>
  <c r="O96" i="1"/>
  <c r="G96" i="1"/>
  <c r="M95" i="1"/>
  <c r="K94" i="1"/>
  <c r="I93" i="1"/>
  <c r="O92" i="1"/>
  <c r="G92" i="1"/>
  <c r="M91" i="1"/>
  <c r="K90" i="1"/>
  <c r="I89" i="1"/>
  <c r="O88" i="1"/>
  <c r="G88" i="1"/>
  <c r="M87" i="1"/>
  <c r="K86" i="1"/>
  <c r="G213" i="1"/>
  <c r="H196" i="1"/>
  <c r="M177" i="1"/>
  <c r="I172" i="1"/>
  <c r="M159" i="1"/>
  <c r="K156" i="1"/>
  <c r="K154" i="1"/>
  <c r="I152" i="1"/>
  <c r="J150" i="1"/>
  <c r="K148" i="1"/>
  <c r="N146" i="1"/>
  <c r="H141" i="1"/>
  <c r="I139" i="1"/>
  <c r="M137" i="1"/>
  <c r="I136" i="1"/>
  <c r="G135" i="1"/>
  <c r="P132" i="1"/>
  <c r="M131" i="1"/>
  <c r="G130" i="1"/>
  <c r="P127" i="1"/>
  <c r="N126" i="1"/>
  <c r="K125" i="1"/>
  <c r="G124" i="1"/>
  <c r="P121" i="1"/>
  <c r="N120" i="1"/>
  <c r="J119" i="1"/>
  <c r="H118" i="1"/>
  <c r="J117" i="1"/>
  <c r="N116" i="1"/>
  <c r="G115" i="1"/>
  <c r="J114" i="1"/>
  <c r="M113" i="1"/>
  <c r="G112" i="1"/>
  <c r="J111" i="1"/>
  <c r="N110" i="1"/>
  <c r="H109" i="1"/>
  <c r="L108" i="1"/>
  <c r="H107" i="1"/>
  <c r="M106" i="1"/>
  <c r="I105" i="1"/>
  <c r="N104" i="1"/>
  <c r="I103" i="1"/>
  <c r="N102" i="1"/>
  <c r="J101" i="1"/>
  <c r="O100" i="1"/>
  <c r="G211" i="1"/>
  <c r="O194" i="1"/>
  <c r="O183" i="1"/>
  <c r="G177" i="1"/>
  <c r="L171" i="1"/>
  <c r="I167" i="1"/>
  <c r="H156" i="1"/>
  <c r="G154" i="1"/>
  <c r="I148" i="1"/>
  <c r="K146" i="1"/>
  <c r="N144" i="1"/>
  <c r="O142" i="1"/>
  <c r="G139" i="1"/>
  <c r="K137" i="1"/>
  <c r="H136" i="1"/>
  <c r="K132" i="1"/>
  <c r="I131" i="1"/>
  <c r="O127" i="1"/>
  <c r="K126" i="1"/>
  <c r="I125" i="1"/>
  <c r="M121" i="1"/>
  <c r="I120" i="1"/>
  <c r="H119" i="1"/>
  <c r="G118" i="1"/>
  <c r="I117" i="1"/>
  <c r="L116" i="1"/>
  <c r="P115" i="1"/>
  <c r="H114" i="1"/>
  <c r="L113" i="1"/>
  <c r="P112" i="1"/>
  <c r="I111" i="1"/>
  <c r="M110" i="1"/>
  <c r="P109" i="1"/>
  <c r="K108" i="1"/>
  <c r="P107" i="1"/>
  <c r="G107" i="1"/>
  <c r="L106" i="1"/>
  <c r="H105" i="1"/>
  <c r="L104" i="1"/>
  <c r="H103" i="1"/>
  <c r="M102" i="1"/>
  <c r="I101" i="1"/>
  <c r="N100" i="1"/>
  <c r="O221" i="1"/>
  <c r="L182" i="1"/>
  <c r="H168" i="1"/>
  <c r="M157" i="1"/>
  <c r="O146" i="1"/>
  <c r="J137" i="1"/>
  <c r="O130" i="1"/>
  <c r="M127" i="1"/>
  <c r="J124" i="1"/>
  <c r="G108" i="1"/>
  <c r="K106" i="1"/>
  <c r="O104" i="1"/>
  <c r="H101" i="1"/>
  <c r="L99" i="1"/>
  <c r="O98" i="1"/>
  <c r="G97" i="1"/>
  <c r="K96" i="1"/>
  <c r="N95" i="1"/>
  <c r="G94" i="1"/>
  <c r="J93" i="1"/>
  <c r="M92" i="1"/>
  <c r="I90" i="1"/>
  <c r="M89" i="1"/>
  <c r="P88" i="1"/>
  <c r="K87" i="1"/>
  <c r="P86" i="1"/>
  <c r="G86" i="1"/>
  <c r="M85" i="1"/>
  <c r="K84" i="1"/>
  <c r="I83" i="1"/>
  <c r="O82" i="1"/>
  <c r="G82" i="1"/>
  <c r="M81" i="1"/>
  <c r="K80" i="1"/>
  <c r="I79" i="1"/>
  <c r="O78" i="1"/>
  <c r="G78" i="1"/>
  <c r="M77" i="1"/>
  <c r="K76" i="1"/>
  <c r="I75" i="1"/>
  <c r="O74" i="1"/>
  <c r="G74" i="1"/>
  <c r="M73" i="1"/>
  <c r="K72" i="1"/>
  <c r="I71" i="1"/>
  <c r="O70" i="1"/>
  <c r="G70" i="1"/>
  <c r="M69" i="1"/>
  <c r="K68" i="1"/>
  <c r="I67" i="1"/>
  <c r="O66" i="1"/>
  <c r="G66" i="1"/>
  <c r="M65" i="1"/>
  <c r="K64" i="1"/>
  <c r="I63" i="1"/>
  <c r="O62" i="1"/>
  <c r="G62" i="1"/>
  <c r="M61" i="1"/>
  <c r="K60" i="1"/>
  <c r="I59" i="1"/>
  <c r="O58" i="1"/>
  <c r="G58" i="1"/>
  <c r="M57" i="1"/>
  <c r="K56" i="1"/>
  <c r="I55" i="1"/>
  <c r="O54" i="1"/>
  <c r="G54" i="1"/>
  <c r="M53" i="1"/>
  <c r="K52" i="1"/>
  <c r="I51" i="1"/>
  <c r="O50" i="1"/>
  <c r="G50" i="1"/>
  <c r="M49" i="1"/>
  <c r="K48" i="1"/>
  <c r="N166" i="1"/>
  <c r="M156" i="1"/>
  <c r="J146" i="1"/>
  <c r="I141" i="1"/>
  <c r="M133" i="1"/>
  <c r="L130" i="1"/>
  <c r="O120" i="1"/>
  <c r="M117" i="1"/>
  <c r="N115" i="1"/>
  <c r="N113" i="1"/>
  <c r="N111" i="1"/>
  <c r="N109" i="1"/>
  <c r="G106" i="1"/>
  <c r="K104" i="1"/>
  <c r="O102" i="1"/>
  <c r="K99" i="1"/>
  <c r="M98" i="1"/>
  <c r="P97" i="1"/>
  <c r="I96" i="1"/>
  <c r="L95" i="1"/>
  <c r="P94" i="1"/>
  <c r="H93" i="1"/>
  <c r="L92" i="1"/>
  <c r="O91" i="1"/>
  <c r="H90" i="1"/>
  <c r="K89" i="1"/>
  <c r="N88" i="1"/>
  <c r="J87" i="1"/>
  <c r="O86" i="1"/>
  <c r="L85" i="1"/>
  <c r="J84" i="1"/>
  <c r="P83" i="1"/>
  <c r="H83" i="1"/>
  <c r="N82" i="1"/>
  <c r="L81" i="1"/>
  <c r="J80" i="1"/>
  <c r="P79" i="1"/>
  <c r="H79" i="1"/>
  <c r="N78" i="1"/>
  <c r="L77" i="1"/>
  <c r="J76" i="1"/>
  <c r="P75" i="1"/>
  <c r="H75" i="1"/>
  <c r="N74" i="1"/>
  <c r="L73" i="1"/>
  <c r="J72" i="1"/>
  <c r="P71" i="1"/>
  <c r="H71" i="1"/>
  <c r="N70" i="1"/>
  <c r="L69" i="1"/>
  <c r="J68" i="1"/>
  <c r="O178" i="1"/>
  <c r="G156" i="1"/>
  <c r="K150" i="1"/>
  <c r="L145" i="1"/>
  <c r="J176" i="1"/>
  <c r="G155" i="1"/>
  <c r="G136" i="1"/>
  <c r="K129" i="1"/>
  <c r="J126" i="1"/>
  <c r="G123" i="1"/>
  <c r="P119" i="1"/>
  <c r="H117" i="1"/>
  <c r="H115" i="1"/>
  <c r="H113" i="1"/>
  <c r="H111" i="1"/>
  <c r="I109" i="1"/>
  <c r="L107" i="1"/>
  <c r="P105" i="1"/>
  <c r="H102" i="1"/>
  <c r="L100" i="1"/>
  <c r="I99" i="1"/>
  <c r="J98" i="1"/>
  <c r="N97" i="1"/>
  <c r="J95" i="1"/>
  <c r="M94" i="1"/>
  <c r="P93" i="1"/>
  <c r="I92" i="1"/>
  <c r="L91" i="1"/>
  <c r="P90" i="1"/>
  <c r="H89" i="1"/>
  <c r="L88" i="1"/>
  <c r="H87" i="1"/>
  <c r="M86" i="1"/>
  <c r="J85" i="1"/>
  <c r="P84" i="1"/>
  <c r="H84" i="1"/>
  <c r="N83" i="1"/>
  <c r="L82" i="1"/>
  <c r="J81" i="1"/>
  <c r="P80" i="1"/>
  <c r="H80" i="1"/>
  <c r="N79" i="1"/>
  <c r="L78" i="1"/>
  <c r="J77" i="1"/>
  <c r="P76" i="1"/>
  <c r="H76" i="1"/>
  <c r="N75" i="1"/>
  <c r="L74" i="1"/>
  <c r="J73" i="1"/>
  <c r="P72" i="1"/>
  <c r="H72" i="1"/>
  <c r="N71" i="1"/>
  <c r="L70" i="1"/>
  <c r="J69" i="1"/>
  <c r="P68" i="1"/>
  <c r="H68" i="1"/>
  <c r="N67" i="1"/>
  <c r="L66" i="1"/>
  <c r="M198" i="1"/>
  <c r="L162" i="1"/>
  <c r="L154" i="1"/>
  <c r="H149" i="1"/>
  <c r="K144" i="1"/>
  <c r="L139" i="1"/>
  <c r="M135" i="1"/>
  <c r="J132" i="1"/>
  <c r="I129" i="1"/>
  <c r="M122" i="1"/>
  <c r="L119" i="1"/>
  <c r="I107" i="1"/>
  <c r="L105" i="1"/>
  <c r="P103" i="1"/>
  <c r="I100" i="1"/>
  <c r="I98" i="1"/>
  <c r="M97" i="1"/>
  <c r="P96" i="1"/>
  <c r="I95" i="1"/>
  <c r="L94" i="1"/>
  <c r="O93" i="1"/>
  <c r="H92" i="1"/>
  <c r="K91" i="1"/>
  <c r="O90" i="1"/>
  <c r="G89" i="1"/>
  <c r="K88" i="1"/>
  <c r="P87" i="1"/>
  <c r="G87" i="1"/>
  <c r="L86" i="1"/>
  <c r="I85" i="1"/>
  <c r="O84" i="1"/>
  <c r="G84" i="1"/>
  <c r="M83" i="1"/>
  <c r="K82" i="1"/>
  <c r="I81" i="1"/>
  <c r="O80" i="1"/>
  <c r="G80" i="1"/>
  <c r="M79" i="1"/>
  <c r="K78" i="1"/>
  <c r="I77" i="1"/>
  <c r="O76" i="1"/>
  <c r="G76" i="1"/>
  <c r="M75" i="1"/>
  <c r="K74" i="1"/>
  <c r="I73" i="1"/>
  <c r="O72" i="1"/>
  <c r="G72" i="1"/>
  <c r="M71" i="1"/>
  <c r="K70" i="1"/>
  <c r="I69" i="1"/>
  <c r="O68" i="1"/>
  <c r="G68" i="1"/>
  <c r="M67" i="1"/>
  <c r="K66" i="1"/>
  <c r="I65" i="1"/>
  <c r="O64" i="1"/>
  <c r="G64" i="1"/>
  <c r="M63" i="1"/>
  <c r="K62" i="1"/>
  <c r="I61" i="1"/>
  <c r="O60" i="1"/>
  <c r="G192" i="1"/>
  <c r="G161" i="1"/>
  <c r="N148" i="1"/>
  <c r="O143" i="1"/>
  <c r="I135" i="1"/>
  <c r="O128" i="1"/>
  <c r="L125" i="1"/>
  <c r="G122" i="1"/>
  <c r="G119" i="1"/>
  <c r="O116" i="1"/>
  <c r="N114" i="1"/>
  <c r="O112" i="1"/>
  <c r="O110" i="1"/>
  <c r="P108" i="1"/>
  <c r="J105" i="1"/>
  <c r="M103" i="1"/>
  <c r="G100" i="1"/>
  <c r="H98" i="1"/>
  <c r="K97" i="1"/>
  <c r="N96" i="1"/>
  <c r="G95" i="1"/>
  <c r="J94" i="1"/>
  <c r="N93" i="1"/>
  <c r="J91" i="1"/>
  <c r="M90" i="1"/>
  <c r="P89" i="1"/>
  <c r="J88" i="1"/>
  <c r="O87" i="1"/>
  <c r="J86" i="1"/>
  <c r="P85" i="1"/>
  <c r="H85" i="1"/>
  <c r="N84" i="1"/>
  <c r="L83" i="1"/>
  <c r="J82" i="1"/>
  <c r="P81" i="1"/>
  <c r="H81" i="1"/>
  <c r="N80" i="1"/>
  <c r="L79" i="1"/>
  <c r="J78" i="1"/>
  <c r="P77" i="1"/>
  <c r="H77" i="1"/>
  <c r="N76" i="1"/>
  <c r="L75" i="1"/>
  <c r="J74" i="1"/>
  <c r="P73" i="1"/>
  <c r="H73" i="1"/>
  <c r="N72" i="1"/>
  <c r="L71" i="1"/>
  <c r="J70" i="1"/>
  <c r="P69" i="1"/>
  <c r="M188" i="1"/>
  <c r="I171" i="1"/>
  <c r="H160" i="1"/>
  <c r="G153" i="1"/>
  <c r="G148" i="1"/>
  <c r="G143" i="1"/>
  <c r="G138" i="1"/>
  <c r="O134" i="1"/>
  <c r="N131" i="1"/>
  <c r="I128" i="1"/>
  <c r="H125" i="1"/>
  <c r="O118" i="1"/>
  <c r="K116" i="1"/>
  <c r="L114" i="1"/>
  <c r="J112" i="1"/>
  <c r="K110" i="1"/>
  <c r="N108" i="1"/>
  <c r="P106" i="1"/>
  <c r="J103" i="1"/>
  <c r="M101" i="1"/>
  <c r="G98" i="1"/>
  <c r="J97" i="1"/>
  <c r="M96" i="1"/>
  <c r="I94" i="1"/>
  <c r="M93" i="1"/>
  <c r="P92" i="1"/>
  <c r="I91" i="1"/>
  <c r="L90" i="1"/>
  <c r="O89" i="1"/>
  <c r="I88" i="1"/>
  <c r="N87" i="1"/>
  <c r="I86" i="1"/>
  <c r="O85" i="1"/>
  <c r="G85" i="1"/>
  <c r="M84" i="1"/>
  <c r="K83" i="1"/>
  <c r="I82" i="1"/>
  <c r="O81" i="1"/>
  <c r="G81" i="1"/>
  <c r="M80" i="1"/>
  <c r="K79" i="1"/>
  <c r="I78" i="1"/>
  <c r="O77" i="1"/>
  <c r="G77" i="1"/>
  <c r="M76" i="1"/>
  <c r="K75" i="1"/>
  <c r="I74" i="1"/>
  <c r="O73" i="1"/>
  <c r="G73" i="1"/>
  <c r="M72" i="1"/>
  <c r="K71" i="1"/>
  <c r="I70" i="1"/>
  <c r="O69" i="1"/>
  <c r="G69" i="1"/>
  <c r="M68" i="1"/>
  <c r="K67" i="1"/>
  <c r="I66" i="1"/>
  <c r="O65" i="1"/>
  <c r="G65" i="1"/>
  <c r="M64" i="1"/>
  <c r="K63" i="1"/>
  <c r="I62" i="1"/>
  <c r="O61" i="1"/>
  <c r="G61" i="1"/>
  <c r="N136" i="1"/>
  <c r="I123" i="1"/>
  <c r="K113" i="1"/>
  <c r="J99" i="1"/>
  <c r="H96" i="1"/>
  <c r="G93" i="1"/>
  <c r="G90" i="1"/>
  <c r="I87" i="1"/>
  <c r="M82" i="1"/>
  <c r="I80" i="1"/>
  <c r="O75" i="1"/>
  <c r="K73" i="1"/>
  <c r="G71" i="1"/>
  <c r="O67" i="1"/>
  <c r="M66" i="1"/>
  <c r="K65" i="1"/>
  <c r="L64" i="1"/>
  <c r="N63" i="1"/>
  <c r="N62" i="1"/>
  <c r="P61" i="1"/>
  <c r="G60" i="1"/>
  <c r="L59" i="1"/>
  <c r="H58" i="1"/>
  <c r="L57" i="1"/>
  <c r="H56" i="1"/>
  <c r="M55" i="1"/>
  <c r="I54" i="1"/>
  <c r="N53" i="1"/>
  <c r="I52" i="1"/>
  <c r="N51" i="1"/>
  <c r="J50" i="1"/>
  <c r="O49" i="1"/>
  <c r="J48" i="1"/>
  <c r="P47" i="1"/>
  <c r="H47" i="1"/>
  <c r="N46" i="1"/>
  <c r="L45" i="1"/>
  <c r="J44" i="1"/>
  <c r="P43" i="1"/>
  <c r="H43" i="1"/>
  <c r="N42" i="1"/>
  <c r="L41" i="1"/>
  <c r="J40" i="1"/>
  <c r="P39" i="1"/>
  <c r="H39" i="1"/>
  <c r="N38" i="1"/>
  <c r="L37" i="1"/>
  <c r="J36" i="1"/>
  <c r="P35" i="1"/>
  <c r="H35" i="1"/>
  <c r="N34" i="1"/>
  <c r="L33" i="1"/>
  <c r="J32" i="1"/>
  <c r="P31" i="1"/>
  <c r="H31" i="1"/>
  <c r="N30" i="1"/>
  <c r="L29" i="1"/>
  <c r="J28" i="1"/>
  <c r="P27" i="1"/>
  <c r="H27" i="1"/>
  <c r="N26" i="1"/>
  <c r="L25" i="1"/>
  <c r="J24" i="1"/>
  <c r="P23" i="1"/>
  <c r="H23" i="1"/>
  <c r="N22" i="1"/>
  <c r="L21" i="1"/>
  <c r="J20" i="1"/>
  <c r="P19" i="1"/>
  <c r="H19" i="1"/>
  <c r="N18" i="1"/>
  <c r="L17" i="1"/>
  <c r="J16" i="1"/>
  <c r="P15" i="1"/>
  <c r="H15" i="1"/>
  <c r="N14" i="1"/>
  <c r="L13" i="1"/>
  <c r="J12" i="1"/>
  <c r="P11" i="1"/>
  <c r="H11" i="1"/>
  <c r="N10" i="1"/>
  <c r="L9" i="1"/>
  <c r="J8" i="1"/>
  <c r="P7" i="1"/>
  <c r="H7" i="1"/>
  <c r="N6" i="1"/>
  <c r="L5" i="1"/>
  <c r="J4" i="1"/>
  <c r="N11" i="1"/>
  <c r="J9" i="1"/>
  <c r="H8" i="1"/>
  <c r="J5" i="1"/>
  <c r="H4" i="1"/>
  <c r="I9" i="1"/>
  <c r="O4" i="1"/>
  <c r="P137" i="1"/>
  <c r="L96" i="1"/>
  <c r="L80" i="1"/>
  <c r="L65" i="1"/>
  <c r="M59" i="1"/>
  <c r="P49" i="1"/>
  <c r="M45" i="1"/>
  <c r="I39" i="1"/>
  <c r="I31" i="1"/>
  <c r="O26" i="1"/>
  <c r="I23" i="1"/>
  <c r="I19" i="1"/>
  <c r="K16" i="1"/>
  <c r="K12" i="1"/>
  <c r="O6" i="1"/>
  <c r="K4" i="1"/>
  <c r="O169" i="1"/>
  <c r="K134" i="1"/>
  <c r="K121" i="1"/>
  <c r="H112" i="1"/>
  <c r="P98" i="1"/>
  <c r="O95" i="1"/>
  <c r="N92" i="1"/>
  <c r="N89" i="1"/>
  <c r="L84" i="1"/>
  <c r="H82" i="1"/>
  <c r="N77" i="1"/>
  <c r="J75" i="1"/>
  <c r="P70" i="1"/>
  <c r="L67" i="1"/>
  <c r="J66" i="1"/>
  <c r="J65" i="1"/>
  <c r="J64" i="1"/>
  <c r="L63" i="1"/>
  <c r="M62" i="1"/>
  <c r="N61" i="1"/>
  <c r="P60" i="1"/>
  <c r="K59" i="1"/>
  <c r="P58" i="1"/>
  <c r="K57" i="1"/>
  <c r="P56" i="1"/>
  <c r="G56" i="1"/>
  <c r="L55" i="1"/>
  <c r="H54" i="1"/>
  <c r="L53" i="1"/>
  <c r="H52" i="1"/>
  <c r="M51" i="1"/>
  <c r="I50" i="1"/>
  <c r="N49" i="1"/>
  <c r="I48" i="1"/>
  <c r="O47" i="1"/>
  <c r="G47" i="1"/>
  <c r="M46" i="1"/>
  <c r="K45" i="1"/>
  <c r="I44" i="1"/>
  <c r="O43" i="1"/>
  <c r="G43" i="1"/>
  <c r="M42" i="1"/>
  <c r="K41" i="1"/>
  <c r="I40" i="1"/>
  <c r="O39" i="1"/>
  <c r="G39" i="1"/>
  <c r="M38" i="1"/>
  <c r="K37" i="1"/>
  <c r="I36" i="1"/>
  <c r="O35" i="1"/>
  <c r="G35" i="1"/>
  <c r="M34" i="1"/>
  <c r="K33" i="1"/>
  <c r="I32" i="1"/>
  <c r="O31" i="1"/>
  <c r="G31" i="1"/>
  <c r="M30" i="1"/>
  <c r="K29" i="1"/>
  <c r="I28" i="1"/>
  <c r="O27" i="1"/>
  <c r="G27" i="1"/>
  <c r="M26" i="1"/>
  <c r="K25" i="1"/>
  <c r="I24" i="1"/>
  <c r="O23" i="1"/>
  <c r="G23" i="1"/>
  <c r="M22" i="1"/>
  <c r="K21" i="1"/>
  <c r="I20" i="1"/>
  <c r="O19" i="1"/>
  <c r="G19" i="1"/>
  <c r="M18" i="1"/>
  <c r="K17" i="1"/>
  <c r="I16" i="1"/>
  <c r="O15" i="1"/>
  <c r="G15" i="1"/>
  <c r="M14" i="1"/>
  <c r="K13" i="1"/>
  <c r="I12" i="1"/>
  <c r="O11" i="1"/>
  <c r="G11" i="1"/>
  <c r="M10" i="1"/>
  <c r="K9" i="1"/>
  <c r="I8" i="1"/>
  <c r="O7" i="1"/>
  <c r="G7" i="1"/>
  <c r="M6" i="1"/>
  <c r="K5" i="1"/>
  <c r="I4" i="1"/>
  <c r="P12" i="1"/>
  <c r="G8" i="1"/>
  <c r="M7" i="1"/>
  <c r="I5" i="1"/>
  <c r="G4" i="1"/>
  <c r="N4" i="1"/>
  <c r="N5" i="1"/>
  <c r="O124" i="1"/>
  <c r="K93" i="1"/>
  <c r="H78" i="1"/>
  <c r="N64" i="1"/>
  <c r="I58" i="1"/>
  <c r="N55" i="1"/>
  <c r="O53" i="1"/>
  <c r="I47" i="1"/>
  <c r="M33" i="1"/>
  <c r="G30" i="1"/>
  <c r="K28" i="1"/>
  <c r="M21" i="1"/>
  <c r="M17" i="1"/>
  <c r="I7" i="1"/>
  <c r="N158" i="1"/>
  <c r="H133" i="1"/>
  <c r="H120" i="1"/>
  <c r="L111" i="1"/>
  <c r="H104" i="1"/>
  <c r="L98" i="1"/>
  <c r="K95" i="1"/>
  <c r="K92" i="1"/>
  <c r="J89" i="1"/>
  <c r="N86" i="1"/>
  <c r="I84" i="1"/>
  <c r="O79" i="1"/>
  <c r="K77" i="1"/>
  <c r="G75" i="1"/>
  <c r="M70" i="1"/>
  <c r="N68" i="1"/>
  <c r="J67" i="1"/>
  <c r="H66" i="1"/>
  <c r="H65" i="1"/>
  <c r="I64" i="1"/>
  <c r="J63" i="1"/>
  <c r="L62" i="1"/>
  <c r="L61" i="1"/>
  <c r="N60" i="1"/>
  <c r="J59" i="1"/>
  <c r="N58" i="1"/>
  <c r="J57" i="1"/>
  <c r="O56" i="1"/>
  <c r="K55" i="1"/>
  <c r="P54" i="1"/>
  <c r="K53" i="1"/>
  <c r="P52" i="1"/>
  <c r="G52" i="1"/>
  <c r="L51" i="1"/>
  <c r="H50" i="1"/>
  <c r="L49" i="1"/>
  <c r="H48" i="1"/>
  <c r="N47" i="1"/>
  <c r="L46" i="1"/>
  <c r="J45" i="1"/>
  <c r="P44" i="1"/>
  <c r="H44" i="1"/>
  <c r="N43" i="1"/>
  <c r="L42" i="1"/>
  <c r="J41" i="1"/>
  <c r="P40" i="1"/>
  <c r="H40" i="1"/>
  <c r="N39" i="1"/>
  <c r="L38" i="1"/>
  <c r="J37" i="1"/>
  <c r="P36" i="1"/>
  <c r="H36" i="1"/>
  <c r="N35" i="1"/>
  <c r="L34" i="1"/>
  <c r="J33" i="1"/>
  <c r="P32" i="1"/>
  <c r="H32" i="1"/>
  <c r="N31" i="1"/>
  <c r="L30" i="1"/>
  <c r="J29" i="1"/>
  <c r="P28" i="1"/>
  <c r="H28" i="1"/>
  <c r="N27" i="1"/>
  <c r="L26" i="1"/>
  <c r="J25" i="1"/>
  <c r="P24" i="1"/>
  <c r="H24" i="1"/>
  <c r="N23" i="1"/>
  <c r="L22" i="1"/>
  <c r="J21" i="1"/>
  <c r="P20" i="1"/>
  <c r="H20" i="1"/>
  <c r="N19" i="1"/>
  <c r="L18" i="1"/>
  <c r="J17" i="1"/>
  <c r="P16" i="1"/>
  <c r="H16" i="1"/>
  <c r="N15" i="1"/>
  <c r="L14" i="1"/>
  <c r="J13" i="1"/>
  <c r="H12" i="1"/>
  <c r="L10" i="1"/>
  <c r="P8" i="1"/>
  <c r="N7" i="1"/>
  <c r="L6" i="1"/>
  <c r="P4" i="1"/>
  <c r="O8" i="1"/>
  <c r="L7" i="1"/>
  <c r="H5" i="1"/>
  <c r="L4" i="1"/>
  <c r="N99" i="1"/>
  <c r="P82" i="1"/>
  <c r="J71" i="1"/>
  <c r="N66" i="1"/>
  <c r="P62" i="1"/>
  <c r="H60" i="1"/>
  <c r="L48" i="1"/>
  <c r="O42" i="1"/>
  <c r="O38" i="1"/>
  <c r="I35" i="1"/>
  <c r="K32" i="1"/>
  <c r="M25" i="1"/>
  <c r="O22" i="1"/>
  <c r="O18" i="1"/>
  <c r="G14" i="1"/>
  <c r="O10" i="1"/>
  <c r="K152" i="1"/>
  <c r="H131" i="1"/>
  <c r="L118" i="1"/>
  <c r="G110" i="1"/>
  <c r="G103" i="1"/>
  <c r="H86" i="1"/>
  <c r="N81" i="1"/>
  <c r="J79" i="1"/>
  <c r="P74" i="1"/>
  <c r="L72" i="1"/>
  <c r="H70" i="1"/>
  <c r="L68" i="1"/>
  <c r="H67" i="1"/>
  <c r="H64" i="1"/>
  <c r="H63" i="1"/>
  <c r="J62" i="1"/>
  <c r="K61" i="1"/>
  <c r="M60" i="1"/>
  <c r="H59" i="1"/>
  <c r="M58" i="1"/>
  <c r="I57" i="1"/>
  <c r="N56" i="1"/>
  <c r="J55" i="1"/>
  <c r="N54" i="1"/>
  <c r="J53" i="1"/>
  <c r="O52" i="1"/>
  <c r="K51" i="1"/>
  <c r="P50" i="1"/>
  <c r="K49" i="1"/>
  <c r="P48" i="1"/>
  <c r="G48" i="1"/>
  <c r="M47" i="1"/>
  <c r="K46" i="1"/>
  <c r="I45" i="1"/>
  <c r="O44" i="1"/>
  <c r="G44" i="1"/>
  <c r="M43" i="1"/>
  <c r="K42" i="1"/>
  <c r="I41" i="1"/>
  <c r="O40" i="1"/>
  <c r="G40" i="1"/>
  <c r="M39" i="1"/>
  <c r="K38" i="1"/>
  <c r="I37" i="1"/>
  <c r="O36" i="1"/>
  <c r="G36" i="1"/>
  <c r="M35" i="1"/>
  <c r="K34" i="1"/>
  <c r="I33" i="1"/>
  <c r="O32" i="1"/>
  <c r="G32" i="1"/>
  <c r="M31" i="1"/>
  <c r="K30" i="1"/>
  <c r="I29" i="1"/>
  <c r="O28" i="1"/>
  <c r="G28" i="1"/>
  <c r="M27" i="1"/>
  <c r="K26" i="1"/>
  <c r="I25" i="1"/>
  <c r="O24" i="1"/>
  <c r="G24" i="1"/>
  <c r="M23" i="1"/>
  <c r="K22" i="1"/>
  <c r="I21" i="1"/>
  <c r="O20" i="1"/>
  <c r="G20" i="1"/>
  <c r="M19" i="1"/>
  <c r="K18" i="1"/>
  <c r="I17" i="1"/>
  <c r="O16" i="1"/>
  <c r="G16" i="1"/>
  <c r="M15" i="1"/>
  <c r="K14" i="1"/>
  <c r="I13" i="1"/>
  <c r="O12" i="1"/>
  <c r="G12" i="1"/>
  <c r="M11" i="1"/>
  <c r="K10" i="1"/>
  <c r="K6" i="1"/>
  <c r="A3" i="1"/>
  <c r="D3" i="1" s="1"/>
  <c r="P5" i="1"/>
  <c r="I147" i="1"/>
  <c r="K117" i="1"/>
  <c r="K109" i="1"/>
  <c r="L102" i="1"/>
  <c r="O97" i="1"/>
  <c r="O94" i="1"/>
  <c r="N91" i="1"/>
  <c r="M88" i="1"/>
  <c r="O83" i="1"/>
  <c r="K81" i="1"/>
  <c r="G79" i="1"/>
  <c r="M74" i="1"/>
  <c r="I72" i="1"/>
  <c r="I68" i="1"/>
  <c r="G67" i="1"/>
  <c r="G63" i="1"/>
  <c r="H62" i="1"/>
  <c r="J61" i="1"/>
  <c r="L60" i="1"/>
  <c r="P59" i="1"/>
  <c r="G59" i="1"/>
  <c r="L58" i="1"/>
  <c r="H57" i="1"/>
  <c r="M56" i="1"/>
  <c r="H55" i="1"/>
  <c r="M54" i="1"/>
  <c r="I53" i="1"/>
  <c r="N52" i="1"/>
  <c r="J51" i="1"/>
  <c r="N50" i="1"/>
  <c r="J49" i="1"/>
  <c r="O48" i="1"/>
  <c r="L47" i="1"/>
  <c r="J46" i="1"/>
  <c r="P45" i="1"/>
  <c r="H45" i="1"/>
  <c r="N44" i="1"/>
  <c r="L43" i="1"/>
  <c r="J42" i="1"/>
  <c r="P41" i="1"/>
  <c r="H41" i="1"/>
  <c r="N40" i="1"/>
  <c r="L39" i="1"/>
  <c r="J38" i="1"/>
  <c r="P37" i="1"/>
  <c r="H37" i="1"/>
  <c r="N36" i="1"/>
  <c r="L35" i="1"/>
  <c r="J34" i="1"/>
  <c r="P33" i="1"/>
  <c r="H33" i="1"/>
  <c r="N32" i="1"/>
  <c r="L31" i="1"/>
  <c r="J30" i="1"/>
  <c r="P29" i="1"/>
  <c r="H29" i="1"/>
  <c r="N28" i="1"/>
  <c r="L27" i="1"/>
  <c r="J26" i="1"/>
  <c r="P25" i="1"/>
  <c r="H25" i="1"/>
  <c r="N24" i="1"/>
  <c r="L23" i="1"/>
  <c r="J22" i="1"/>
  <c r="P21" i="1"/>
  <c r="H21" i="1"/>
  <c r="N20" i="1"/>
  <c r="L19" i="1"/>
  <c r="J18" i="1"/>
  <c r="P17" i="1"/>
  <c r="H17" i="1"/>
  <c r="N16" i="1"/>
  <c r="L15" i="1"/>
  <c r="J14" i="1"/>
  <c r="P13" i="1"/>
  <c r="H13" i="1"/>
  <c r="N12" i="1"/>
  <c r="L11" i="1"/>
  <c r="J10" i="1"/>
  <c r="P9" i="1"/>
  <c r="H9" i="1"/>
  <c r="N8" i="1"/>
  <c r="J6" i="1"/>
  <c r="H69" i="1"/>
  <c r="K50" i="1"/>
  <c r="G46" i="1"/>
  <c r="M41" i="1"/>
  <c r="G38" i="1"/>
  <c r="O34" i="1"/>
  <c r="O30" i="1"/>
  <c r="I27" i="1"/>
  <c r="O14" i="1"/>
  <c r="I11" i="1"/>
  <c r="K8" i="1"/>
  <c r="N142" i="1"/>
  <c r="G116" i="1"/>
  <c r="J108" i="1"/>
  <c r="K101" i="1"/>
  <c r="H97" i="1"/>
  <c r="H94" i="1"/>
  <c r="G91" i="1"/>
  <c r="H88" i="1"/>
  <c r="N85" i="1"/>
  <c r="J83" i="1"/>
  <c r="P78" i="1"/>
  <c r="L76" i="1"/>
  <c r="H74" i="1"/>
  <c r="N69" i="1"/>
  <c r="P65" i="1"/>
  <c r="H61" i="1"/>
  <c r="J60" i="1"/>
  <c r="O59" i="1"/>
  <c r="K58" i="1"/>
  <c r="P57" i="1"/>
  <c r="G57" i="1"/>
  <c r="L56" i="1"/>
  <c r="P55" i="1"/>
  <c r="G55" i="1"/>
  <c r="L54" i="1"/>
  <c r="H53" i="1"/>
  <c r="M52" i="1"/>
  <c r="H51" i="1"/>
  <c r="M50" i="1"/>
  <c r="I49" i="1"/>
  <c r="N48" i="1"/>
  <c r="K47" i="1"/>
  <c r="I46" i="1"/>
  <c r="O45" i="1"/>
  <c r="G45" i="1"/>
  <c r="M44" i="1"/>
  <c r="K43" i="1"/>
  <c r="I42" i="1"/>
  <c r="O41" i="1"/>
  <c r="G41" i="1"/>
  <c r="M40" i="1"/>
  <c r="K39" i="1"/>
  <c r="I38" i="1"/>
  <c r="O37" i="1"/>
  <c r="G37" i="1"/>
  <c r="M36" i="1"/>
  <c r="K35" i="1"/>
  <c r="I34" i="1"/>
  <c r="O33" i="1"/>
  <c r="G33" i="1"/>
  <c r="M32" i="1"/>
  <c r="K31" i="1"/>
  <c r="I30" i="1"/>
  <c r="O29" i="1"/>
  <c r="G29" i="1"/>
  <c r="M28" i="1"/>
  <c r="K27" i="1"/>
  <c r="I26" i="1"/>
  <c r="O25" i="1"/>
  <c r="G25" i="1"/>
  <c r="M24" i="1"/>
  <c r="K23" i="1"/>
  <c r="I22" i="1"/>
  <c r="O21" i="1"/>
  <c r="G21" i="1"/>
  <c r="M20" i="1"/>
  <c r="K19" i="1"/>
  <c r="I18" i="1"/>
  <c r="O17" i="1"/>
  <c r="G17" i="1"/>
  <c r="M16" i="1"/>
  <c r="K15" i="1"/>
  <c r="I14" i="1"/>
  <c r="O13" i="1"/>
  <c r="G13" i="1"/>
  <c r="M12" i="1"/>
  <c r="K11" i="1"/>
  <c r="I10" i="1"/>
  <c r="O9" i="1"/>
  <c r="G9" i="1"/>
  <c r="M8" i="1"/>
  <c r="K7" i="1"/>
  <c r="I6" i="1"/>
  <c r="O5" i="1"/>
  <c r="G5" i="1"/>
  <c r="M4" i="1"/>
  <c r="J7" i="1"/>
  <c r="H6" i="1"/>
  <c r="G114" i="1"/>
  <c r="J90" i="1"/>
  <c r="N57" i="1"/>
  <c r="J54" i="1"/>
  <c r="J52" i="1"/>
  <c r="G49" i="1"/>
  <c r="O46" i="1"/>
  <c r="K44" i="1"/>
  <c r="G42" i="1"/>
  <c r="K40" i="1"/>
  <c r="M37" i="1"/>
  <c r="G34" i="1"/>
  <c r="G22" i="1"/>
  <c r="G18" i="1"/>
  <c r="I15" i="1"/>
  <c r="M9" i="1"/>
  <c r="M5" i="1"/>
  <c r="O126" i="1"/>
  <c r="J115" i="1"/>
  <c r="O107" i="1"/>
  <c r="P100" i="1"/>
  <c r="K85" i="1"/>
  <c r="G83" i="1"/>
  <c r="M78" i="1"/>
  <c r="I76" i="1"/>
  <c r="O71" i="1"/>
  <c r="K69" i="1"/>
  <c r="P66" i="1"/>
  <c r="N65" i="1"/>
  <c r="P64" i="1"/>
  <c r="P63" i="1"/>
  <c r="I60" i="1"/>
  <c r="N59" i="1"/>
  <c r="J58" i="1"/>
  <c r="O57" i="1"/>
  <c r="J56" i="1"/>
  <c r="O55" i="1"/>
  <c r="K54" i="1"/>
  <c r="P53" i="1"/>
  <c r="G53" i="1"/>
  <c r="L52" i="1"/>
  <c r="P51" i="1"/>
  <c r="G51" i="1"/>
  <c r="L50" i="1"/>
  <c r="H49" i="1"/>
  <c r="M48" i="1"/>
  <c r="J47" i="1"/>
  <c r="P46" i="1"/>
  <c r="H46" i="1"/>
  <c r="N45" i="1"/>
  <c r="L44" i="1"/>
  <c r="J43" i="1"/>
  <c r="P42" i="1"/>
  <c r="H42" i="1"/>
  <c r="N41" i="1"/>
  <c r="L40" i="1"/>
  <c r="J39" i="1"/>
  <c r="P38" i="1"/>
  <c r="H38" i="1"/>
  <c r="N37" i="1"/>
  <c r="L36" i="1"/>
  <c r="J35" i="1"/>
  <c r="P34" i="1"/>
  <c r="H34" i="1"/>
  <c r="N33" i="1"/>
  <c r="L32" i="1"/>
  <c r="J31" i="1"/>
  <c r="P30" i="1"/>
  <c r="H30" i="1"/>
  <c r="N29" i="1"/>
  <c r="L28" i="1"/>
  <c r="J27" i="1"/>
  <c r="P26" i="1"/>
  <c r="H26" i="1"/>
  <c r="N25" i="1"/>
  <c r="L24" i="1"/>
  <c r="J23" i="1"/>
  <c r="P22" i="1"/>
  <c r="H22" i="1"/>
  <c r="N21" i="1"/>
  <c r="L20" i="1"/>
  <c r="J19" i="1"/>
  <c r="P18" i="1"/>
  <c r="H18" i="1"/>
  <c r="N17" i="1"/>
  <c r="L16" i="1"/>
  <c r="J15" i="1"/>
  <c r="P14" i="1"/>
  <c r="H14" i="1"/>
  <c r="N13" i="1"/>
  <c r="L12" i="1"/>
  <c r="J11" i="1"/>
  <c r="P10" i="1"/>
  <c r="H10" i="1"/>
  <c r="N9" i="1"/>
  <c r="L8" i="1"/>
  <c r="P6" i="1"/>
  <c r="N106" i="1"/>
  <c r="L87" i="1"/>
  <c r="N73" i="1"/>
  <c r="P67" i="1"/>
  <c r="O63" i="1"/>
  <c r="I56" i="1"/>
  <c r="O51" i="1"/>
  <c r="I43" i="1"/>
  <c r="K36" i="1"/>
  <c r="M29" i="1"/>
  <c r="G26" i="1"/>
  <c r="K24" i="1"/>
  <c r="K20" i="1"/>
  <c r="M13" i="1"/>
  <c r="G10" i="1"/>
  <c r="G6" i="1"/>
  <c r="Q42" i="1" l="1"/>
  <c r="F42" i="1" s="1"/>
  <c r="Q27" i="1"/>
  <c r="F27" i="1" s="1"/>
  <c r="Q123" i="1"/>
  <c r="F123" i="1" s="1"/>
  <c r="Q143" i="1"/>
  <c r="F143" i="1" s="1"/>
  <c r="Q127" i="1"/>
  <c r="F127" i="1" s="1"/>
  <c r="Q179" i="1"/>
  <c r="F179" i="1" s="1"/>
  <c r="Q144" i="1"/>
  <c r="F144" i="1" s="1"/>
  <c r="Q173" i="1"/>
  <c r="F173" i="1" s="1"/>
  <c r="Q176" i="1"/>
  <c r="F176" i="1" s="1"/>
  <c r="Q154" i="1"/>
  <c r="F154" i="1" s="1"/>
  <c r="Q197" i="1"/>
  <c r="F197" i="1" s="1"/>
  <c r="Q49" i="1"/>
  <c r="F49" i="1" s="1"/>
  <c r="Q74" i="1"/>
  <c r="F74" i="1" s="1"/>
  <c r="Q28" i="1"/>
  <c r="F28" i="1" s="1"/>
  <c r="Q54" i="1"/>
  <c r="F54" i="1" s="1"/>
  <c r="Q112" i="1"/>
  <c r="F112" i="1" s="1"/>
  <c r="Q8" i="1"/>
  <c r="F8" i="1" s="1"/>
  <c r="Q15" i="1"/>
  <c r="F15" i="1" s="1"/>
  <c r="Q47" i="1"/>
  <c r="F47" i="1" s="1"/>
  <c r="Q125" i="1"/>
  <c r="F125" i="1" s="1"/>
  <c r="Q160" i="1"/>
  <c r="F160" i="1" s="1"/>
  <c r="Q84" i="1"/>
  <c r="F84" i="1" s="1"/>
  <c r="F117" i="1"/>
  <c r="Q117" i="1"/>
  <c r="Q114" i="1"/>
  <c r="F114" i="1" s="1"/>
  <c r="Q110" i="1"/>
  <c r="F110" i="1" s="1"/>
  <c r="Q137" i="1"/>
  <c r="F137" i="1" s="1"/>
  <c r="Q145" i="1"/>
  <c r="F145" i="1" s="1"/>
  <c r="Q132" i="1"/>
  <c r="F132" i="1" s="1"/>
  <c r="Q159" i="1"/>
  <c r="F159" i="1" s="1"/>
  <c r="Q218" i="1"/>
  <c r="F218" i="1" s="1"/>
  <c r="Q126" i="1"/>
  <c r="F126" i="1" s="1"/>
  <c r="Q163" i="1"/>
  <c r="F163" i="1" s="1"/>
  <c r="Q223" i="1"/>
  <c r="F223" i="1" s="1"/>
  <c r="Q174" i="1"/>
  <c r="F174" i="1" s="1"/>
  <c r="Q187" i="1"/>
  <c r="F187" i="1" s="1"/>
  <c r="Q202" i="1"/>
  <c r="F202" i="1" s="1"/>
  <c r="Q219" i="1"/>
  <c r="F219" i="1" s="1"/>
  <c r="Q224" i="1"/>
  <c r="F224" i="1" s="1"/>
  <c r="Q185" i="1"/>
  <c r="F185" i="1" s="1"/>
  <c r="Q217" i="1"/>
  <c r="F217" i="1" s="1"/>
  <c r="Q94" i="1"/>
  <c r="F94" i="1" s="1"/>
  <c r="Q196" i="1"/>
  <c r="F196" i="1" s="1"/>
  <c r="Q151" i="1"/>
  <c r="F151" i="1" s="1"/>
  <c r="Q139" i="1"/>
  <c r="F139" i="1" s="1"/>
  <c r="Q138" i="1"/>
  <c r="F138" i="1" s="1"/>
  <c r="Q192" i="1"/>
  <c r="F192" i="1" s="1"/>
  <c r="Q177" i="1"/>
  <c r="F177" i="1" s="1"/>
  <c r="Q30" i="1"/>
  <c r="F30" i="1" s="1"/>
  <c r="Q97" i="1"/>
  <c r="F97" i="1" s="1"/>
  <c r="Q33" i="1"/>
  <c r="F33" i="1" s="1"/>
  <c r="Q18" i="1"/>
  <c r="F18" i="1" s="1"/>
  <c r="Q51" i="1"/>
  <c r="F51" i="1" s="1"/>
  <c r="Q21" i="1"/>
  <c r="F21" i="1" s="1"/>
  <c r="Q59" i="1"/>
  <c r="F59" i="1"/>
  <c r="Q70" i="1"/>
  <c r="F70" i="1" s="1"/>
  <c r="Q16" i="1"/>
  <c r="F16" i="1" s="1"/>
  <c r="Q48" i="1"/>
  <c r="F48" i="1" s="1"/>
  <c r="Q104" i="1"/>
  <c r="F104" i="1" s="1"/>
  <c r="Q78" i="1"/>
  <c r="F78" i="1" s="1"/>
  <c r="Q35" i="1"/>
  <c r="F35" i="1" s="1"/>
  <c r="Q81" i="1"/>
  <c r="F81" i="1" s="1"/>
  <c r="Q72" i="1"/>
  <c r="F72" i="1" s="1"/>
  <c r="Q102" i="1"/>
  <c r="F102" i="1" s="1"/>
  <c r="Q79" i="1"/>
  <c r="F79" i="1" s="1"/>
  <c r="Q93" i="1"/>
  <c r="F93" i="1" s="1"/>
  <c r="Q95" i="1"/>
  <c r="F95" i="1" s="1"/>
  <c r="Q121" i="1"/>
  <c r="F121" i="1" s="1"/>
  <c r="Q183" i="1"/>
  <c r="F183" i="1" s="1"/>
  <c r="Q188" i="1"/>
  <c r="F188" i="1" s="1"/>
  <c r="Q191" i="1"/>
  <c r="F191" i="1" s="1"/>
  <c r="Q146" i="1"/>
  <c r="F146" i="1" s="1"/>
  <c r="Q167" i="1"/>
  <c r="F167" i="1" s="1"/>
  <c r="F207" i="1"/>
  <c r="Q207" i="1"/>
  <c r="Q162" i="1"/>
  <c r="F162" i="1" s="1"/>
  <c r="F212" i="1"/>
  <c r="Q212" i="1"/>
  <c r="Q205" i="1"/>
  <c r="F205" i="1" s="1"/>
  <c r="Q13" i="1"/>
  <c r="F13" i="1" s="1"/>
  <c r="Q40" i="1"/>
  <c r="F40" i="1" s="1"/>
  <c r="Q115" i="1"/>
  <c r="F115" i="1" s="1"/>
  <c r="Q9" i="1"/>
  <c r="F9" i="1" s="1"/>
  <c r="Q41" i="1"/>
  <c r="F41" i="1" s="1"/>
  <c r="Q62" i="1"/>
  <c r="F62" i="1" s="1"/>
  <c r="Q131" i="1"/>
  <c r="F131" i="1" s="1"/>
  <c r="Q152" i="1"/>
  <c r="F152" i="1" s="1"/>
  <c r="Q140" i="1"/>
  <c r="F140" i="1" s="1"/>
  <c r="Q134" i="1"/>
  <c r="F134" i="1" s="1"/>
  <c r="Q227" i="1"/>
  <c r="F227" i="1" s="1"/>
  <c r="Q182" i="1"/>
  <c r="F182" i="1" s="1"/>
  <c r="Q204" i="1"/>
  <c r="F204" i="1" s="1"/>
  <c r="Q193" i="1"/>
  <c r="F193" i="1" s="1"/>
  <c r="Q225" i="1"/>
  <c r="F225" i="1" s="1"/>
  <c r="Q26" i="1"/>
  <c r="F26" i="1" s="1"/>
  <c r="Q53" i="1"/>
  <c r="F53" i="1" s="1"/>
  <c r="Q29" i="1"/>
  <c r="F29" i="1" s="1"/>
  <c r="Q24" i="1"/>
  <c r="F24" i="1" s="1"/>
  <c r="Q50" i="1"/>
  <c r="F50" i="1" s="1"/>
  <c r="Q65" i="1"/>
  <c r="F65" i="1" s="1"/>
  <c r="Q120" i="1"/>
  <c r="F120" i="1" s="1"/>
  <c r="Q11" i="1"/>
  <c r="F11" i="1" s="1"/>
  <c r="Q43" i="1"/>
  <c r="F43" i="1" s="1"/>
  <c r="Q98" i="1"/>
  <c r="F98" i="1" s="1"/>
  <c r="Q80" i="1"/>
  <c r="F80" i="1" s="1"/>
  <c r="Q107" i="1"/>
  <c r="F107" i="1" s="1"/>
  <c r="Q135" i="1"/>
  <c r="F135" i="1" s="1"/>
  <c r="Q153" i="1"/>
  <c r="F153" i="1" s="1"/>
  <c r="Q122" i="1"/>
  <c r="F122" i="1" s="1"/>
  <c r="Q200" i="1"/>
  <c r="F200" i="1" s="1"/>
  <c r="Q169" i="1"/>
  <c r="F169" i="1" s="1"/>
  <c r="Q175" i="1"/>
  <c r="F175" i="1" s="1"/>
  <c r="Q226" i="1"/>
  <c r="F226" i="1" s="1"/>
  <c r="Q211" i="1"/>
  <c r="F211" i="1" s="1"/>
  <c r="Q170" i="1"/>
  <c r="F170" i="1" s="1"/>
  <c r="Q222" i="1"/>
  <c r="F222" i="1" s="1"/>
  <c r="Q220" i="1"/>
  <c r="F220" i="1" s="1"/>
  <c r="Q213" i="1"/>
  <c r="F213" i="1" s="1"/>
  <c r="Q14" i="1"/>
  <c r="F14" i="1" s="1"/>
  <c r="Q46" i="1"/>
  <c r="F46" i="1" s="1"/>
  <c r="Q17" i="1"/>
  <c r="F17" i="1" s="1"/>
  <c r="Q57" i="1"/>
  <c r="F57" i="1" s="1"/>
  <c r="P3" i="1"/>
  <c r="H3" i="1"/>
  <c r="J3" i="1"/>
  <c r="O3" i="1"/>
  <c r="G3" i="1"/>
  <c r="M3" i="1"/>
  <c r="N3" i="1"/>
  <c r="L3" i="1"/>
  <c r="I3" i="1"/>
  <c r="K3" i="1"/>
  <c r="Q44" i="1"/>
  <c r="F44" i="1" s="1"/>
  <c r="Q66" i="1"/>
  <c r="F66" i="1"/>
  <c r="Q133" i="1"/>
  <c r="F133" i="1" s="1"/>
  <c r="Q31" i="1"/>
  <c r="F31" i="1" s="1"/>
  <c r="Q58" i="1"/>
  <c r="F58" i="1" s="1"/>
  <c r="Q77" i="1"/>
  <c r="F77" i="1" s="1"/>
  <c r="Q92" i="1"/>
  <c r="F92" i="1" s="1"/>
  <c r="Q68" i="1"/>
  <c r="F68" i="1" s="1"/>
  <c r="Q87" i="1"/>
  <c r="F87" i="1" s="1"/>
  <c r="Q75" i="1"/>
  <c r="F75" i="1" s="1"/>
  <c r="Q101" i="1"/>
  <c r="F101" i="1" s="1"/>
  <c r="Q103" i="1"/>
  <c r="F103" i="1" s="1"/>
  <c r="Q147" i="1"/>
  <c r="F147" i="1" s="1"/>
  <c r="Q106" i="1"/>
  <c r="F106" i="1" s="1"/>
  <c r="Q91" i="1"/>
  <c r="F91" i="1" s="1"/>
  <c r="Q180" i="1"/>
  <c r="F180" i="1" s="1"/>
  <c r="Q124" i="1"/>
  <c r="F124" i="1" s="1"/>
  <c r="Q194" i="1"/>
  <c r="F194" i="1" s="1"/>
  <c r="Q161" i="1"/>
  <c r="F161" i="1" s="1"/>
  <c r="Q203" i="1"/>
  <c r="F203" i="1" s="1"/>
  <c r="Q148" i="1"/>
  <c r="F148" i="1" s="1"/>
  <c r="Q184" i="1"/>
  <c r="F184" i="1" s="1"/>
  <c r="Q142" i="1"/>
  <c r="F142" i="1" s="1"/>
  <c r="Q198" i="1"/>
  <c r="F198" i="1" s="1"/>
  <c r="Q181" i="1"/>
  <c r="F181" i="1" s="1"/>
  <c r="Q195" i="1"/>
  <c r="F195" i="1" s="1"/>
  <c r="Q210" i="1"/>
  <c r="F210" i="1" s="1"/>
  <c r="Q158" i="1"/>
  <c r="F158" i="1" s="1"/>
  <c r="Q206" i="1"/>
  <c r="F206" i="1" s="1"/>
  <c r="Q208" i="1"/>
  <c r="F208" i="1" s="1"/>
  <c r="Q201" i="1"/>
  <c r="F201" i="1" s="1"/>
  <c r="Q10" i="1"/>
  <c r="F10" i="1" s="1"/>
  <c r="Q69" i="1"/>
  <c r="F69" i="1" s="1"/>
  <c r="Q45" i="1"/>
  <c r="F45" i="1" s="1"/>
  <c r="Q73" i="1"/>
  <c r="F73" i="1" s="1"/>
  <c r="Q38" i="1"/>
  <c r="F38" i="1" s="1"/>
  <c r="Q55" i="1"/>
  <c r="F55" i="1" s="1"/>
  <c r="Q36" i="1"/>
  <c r="F36" i="1" s="1"/>
  <c r="Q82" i="1"/>
  <c r="F82" i="1" s="1"/>
  <c r="Q23" i="1"/>
  <c r="F23" i="1" s="1"/>
  <c r="Q56" i="1"/>
  <c r="F56" i="1" s="1"/>
  <c r="Q165" i="1"/>
  <c r="F165" i="1" s="1"/>
  <c r="Q34" i="1"/>
  <c r="F34" i="1" s="1"/>
  <c r="Q6" i="1"/>
  <c r="F6" i="1" s="1"/>
  <c r="Q61" i="1"/>
  <c r="F61" i="1" s="1"/>
  <c r="Q88" i="1"/>
  <c r="F88" i="1" s="1"/>
  <c r="Q37" i="1"/>
  <c r="F37" i="1" s="1"/>
  <c r="Q63" i="1"/>
  <c r="F63" i="1" s="1"/>
  <c r="Q5" i="1"/>
  <c r="F5" i="1" s="1"/>
  <c r="Q12" i="1"/>
  <c r="F12" i="1" s="1"/>
  <c r="Q32" i="1"/>
  <c r="F32" i="1" s="1"/>
  <c r="Q19" i="1"/>
  <c r="F19" i="1" s="1"/>
  <c r="Q111" i="1"/>
  <c r="F111" i="1" s="1"/>
  <c r="Q119" i="1"/>
  <c r="F119" i="1" s="1"/>
  <c r="Q136" i="1"/>
  <c r="F136" i="1" s="1"/>
  <c r="Q156" i="1"/>
  <c r="F156" i="1" s="1"/>
  <c r="Q109" i="1"/>
  <c r="F109" i="1" s="1"/>
  <c r="Q141" i="1"/>
  <c r="F141" i="1" s="1"/>
  <c r="Q172" i="1"/>
  <c r="F172" i="1" s="1"/>
  <c r="Q129" i="1"/>
  <c r="F129" i="1" s="1"/>
  <c r="Q155" i="1"/>
  <c r="F155" i="1" s="1"/>
  <c r="Q171" i="1"/>
  <c r="F171" i="1" s="1"/>
  <c r="Q130" i="1"/>
  <c r="F130" i="1" s="1"/>
  <c r="Q164" i="1"/>
  <c r="F164" i="1" s="1"/>
  <c r="Q199" i="1"/>
  <c r="F199" i="1" s="1"/>
  <c r="Q186" i="1"/>
  <c r="F186" i="1" s="1"/>
  <c r="Q178" i="1"/>
  <c r="F178" i="1" s="1"/>
  <c r="Q228" i="1"/>
  <c r="F228" i="1" s="1"/>
  <c r="Q189" i="1"/>
  <c r="F189" i="1" s="1"/>
  <c r="Q221" i="1"/>
  <c r="F221" i="1" s="1"/>
  <c r="Q67" i="1"/>
  <c r="F67" i="1" s="1"/>
  <c r="Q71" i="1"/>
  <c r="F71" i="1"/>
  <c r="Q100" i="1"/>
  <c r="F100" i="1" s="1"/>
  <c r="Q128" i="1"/>
  <c r="F128" i="1" s="1"/>
  <c r="Q157" i="1"/>
  <c r="F157" i="1" s="1"/>
  <c r="Q22" i="1"/>
  <c r="F22" i="1" s="1"/>
  <c r="Q25" i="1"/>
  <c r="F25" i="1" s="1"/>
  <c r="Q64" i="1"/>
  <c r="F64" i="1" s="1"/>
  <c r="Q86" i="1"/>
  <c r="F86" i="1" s="1"/>
  <c r="Q60" i="1"/>
  <c r="F60" i="1" s="1"/>
  <c r="Q20" i="1"/>
  <c r="F20" i="1" s="1"/>
  <c r="Q52" i="1"/>
  <c r="F52" i="1" s="1"/>
  <c r="F4" i="1"/>
  <c r="Q4" i="1"/>
  <c r="Q7" i="1"/>
  <c r="F7" i="1" s="1"/>
  <c r="Q39" i="1"/>
  <c r="F39" i="1" s="1"/>
  <c r="Q96" i="1"/>
  <c r="F96" i="1" s="1"/>
  <c r="Q85" i="1"/>
  <c r="F85" i="1" s="1"/>
  <c r="Q149" i="1"/>
  <c r="F149" i="1" s="1"/>
  <c r="Q76" i="1"/>
  <c r="F76" i="1" s="1"/>
  <c r="Q89" i="1"/>
  <c r="F89" i="1" s="1"/>
  <c r="Q113" i="1"/>
  <c r="F113" i="1" s="1"/>
  <c r="Q83" i="1"/>
  <c r="F83" i="1" s="1"/>
  <c r="Q90" i="1"/>
  <c r="F90" i="1" s="1"/>
  <c r="Q168" i="1"/>
  <c r="F168" i="1" s="1"/>
  <c r="Q105" i="1"/>
  <c r="F105" i="1" s="1"/>
  <c r="Q118" i="1"/>
  <c r="F118" i="1" s="1"/>
  <c r="Q108" i="1"/>
  <c r="F108" i="1" s="1"/>
  <c r="Q116" i="1"/>
  <c r="F116" i="1" s="1"/>
  <c r="Q99" i="1"/>
  <c r="F99" i="1" s="1"/>
  <c r="Q215" i="1"/>
  <c r="F215" i="1"/>
  <c r="Q150" i="1"/>
  <c r="F150" i="1" s="1"/>
  <c r="Q190" i="1"/>
  <c r="F190" i="1" s="1"/>
  <c r="Q214" i="1"/>
  <c r="F214" i="1" s="1"/>
  <c r="Q166" i="1"/>
  <c r="F166" i="1" s="1"/>
  <c r="Q216" i="1"/>
  <c r="F216" i="1" s="1"/>
  <c r="Q209" i="1"/>
  <c r="F209" i="1" s="1"/>
  <c r="Q3" i="1" l="1"/>
  <c r="F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<sst xmlns="http://schemas.openxmlformats.org/spreadsheetml/2006/main" count="244" uniqueCount="243">
  <si>
    <t>RTO - Current - Application Approved</t>
  </si>
  <si>
    <t>RTO Number</t>
  </si>
  <si>
    <t>Legal Name</t>
  </si>
  <si>
    <t>Trading Name</t>
  </si>
  <si>
    <t>Approved to deliver via connected real time delivery (CRTD)</t>
  </si>
  <si>
    <t>Registered as a school</t>
  </si>
  <si>
    <t>CRTD - Application Received</t>
  </si>
  <si>
    <t>CRTD - Application in Review</t>
  </si>
  <si>
    <t>CRTD - Application Withdrawn</t>
  </si>
  <si>
    <t>CRTD - Application Refused</t>
  </si>
  <si>
    <t>CRTD - Current - Application Approved</t>
  </si>
  <si>
    <t>CRTD - Terminated by RTO</t>
  </si>
  <si>
    <t>CRTD - Suspended by WHSQ</t>
  </si>
  <si>
    <t>CRTD - Terminated by WHSQ</t>
  </si>
  <si>
    <t>CRTD - Terminated - ASQA Registration/Scope Ended</t>
  </si>
  <si>
    <t>Max date</t>
  </si>
  <si>
    <t>Head Office Postcode</t>
  </si>
  <si>
    <t>Link</t>
  </si>
  <si>
    <t>https://training.gov.au/Organisation/Details/0275</t>
  </si>
  <si>
    <t>https://training.gov.au/Organisation/Details/0328</t>
  </si>
  <si>
    <t>https://training.gov.au/Organisation/Details/0677</t>
  </si>
  <si>
    <t>https://training.gov.au/Organisation/Details/0678</t>
  </si>
  <si>
    <t>https://training.gov.au/Organisation/Details/0686</t>
  </si>
  <si>
    <t>https://training.gov.au/Organisation/Details/0699</t>
  </si>
  <si>
    <t>https://training.gov.au/Organisation/Details/0709</t>
  </si>
  <si>
    <t>https://training.gov.au/Organisation/Details/1044</t>
  </si>
  <si>
    <t>https://training.gov.au/Organisation/Details/1091</t>
  </si>
  <si>
    <t>https://training.gov.au/Organisation/Details/110029</t>
  </si>
  <si>
    <t>https://training.gov.au/Organisation/Details/140100</t>
  </si>
  <si>
    <t>https://training.gov.au/Organisation/Details/1607</t>
  </si>
  <si>
    <t>https://training.gov.au/Organisation/Details/1709</t>
  </si>
  <si>
    <t>https://training.gov.au/Organisation/Details/1826</t>
  </si>
  <si>
    <t>https://training.gov.au/Organisation/Details/20749</t>
  </si>
  <si>
    <t>https://training.gov.au/Organisation/Details/21055</t>
  </si>
  <si>
    <t>https://training.gov.au/Organisation/Details/21371</t>
  </si>
  <si>
    <t>https://training.gov.au/Organisation/Details/21583</t>
  </si>
  <si>
    <t>https://training.gov.au/Organisation/Details/22508</t>
  </si>
  <si>
    <t>https://training.gov.au/Organisation/Details/30048</t>
  </si>
  <si>
    <t>https://training.gov.au/Organisation/Details/30058</t>
  </si>
  <si>
    <t>https://training.gov.au/Organisation/Details/30070</t>
  </si>
  <si>
    <t>https://training.gov.au/Organisation/Details/30097</t>
  </si>
  <si>
    <t>https://training.gov.au/Organisation/Details/30118</t>
  </si>
  <si>
    <t>https://training.gov.au/organisation/details/30144/summary</t>
  </si>
  <si>
    <t>https://training.gov.au/Organisation/Details/30166</t>
  </si>
  <si>
    <t>https://training.gov.au/Organisation/Details/30185</t>
  </si>
  <si>
    <t>https://training.gov.au/Organisation/Details/30200</t>
  </si>
  <si>
    <t>https://training.gov.au/Organisation/Details/30229</t>
  </si>
  <si>
    <t>https://training.gov.au/Organisation/Details/30258</t>
  </si>
  <si>
    <t>https://training.gov.au/Organisation/Details/30314</t>
  </si>
  <si>
    <t>https://training.gov.au/Organisation/Details/30337</t>
  </si>
  <si>
    <t>https://training.gov.au/Organisation/Details/30380</t>
  </si>
  <si>
    <t>https://training.gov.au/Organisation/Details/30387</t>
  </si>
  <si>
    <t>https://training.gov.au/Organisation/Details/30390</t>
  </si>
  <si>
    <t>https://training.gov.au/Organisation/Details/30409</t>
  </si>
  <si>
    <t>https://training.gov.au/Organisation/Details/30460</t>
  </si>
  <si>
    <t>https://training.gov.au/Organisation/Details/30477</t>
  </si>
  <si>
    <t>https://training.gov.au/Organisation/Details/30484</t>
  </si>
  <si>
    <t>https://training.gov.au/Organisation/Details/30527</t>
  </si>
  <si>
    <t>https://training.gov.au/Organisation/Details/30614</t>
  </si>
  <si>
    <t>https://training.gov.au/Organisation/Details/30622</t>
  </si>
  <si>
    <t>https://training.gov.au/Organisation/Details/30660</t>
  </si>
  <si>
    <t>https://training.gov.au/Organisation/Details/30820</t>
  </si>
  <si>
    <t>https://training.gov.au/Organisation/Details/30950</t>
  </si>
  <si>
    <t>https://training.gov.au/Organisation/Details/31092</t>
  </si>
  <si>
    <t>https://training.gov.au/Organisation/Details/31116</t>
  </si>
  <si>
    <t>https://training.gov.au/Organisation/Details/31160</t>
  </si>
  <si>
    <t>https://training.gov.au/Organisation/Details/31167</t>
  </si>
  <si>
    <t>https://training.gov.au/Organisation/Details/31175</t>
  </si>
  <si>
    <t>https://training.gov.au/Organisation/Details/31178</t>
  </si>
  <si>
    <t>https://training.gov.au/Organisation/Details/31193</t>
  </si>
  <si>
    <t>https://training.gov.au/Organisation/Details/31198</t>
  </si>
  <si>
    <t>https://training.gov.au/Organisation/Details/31252</t>
  </si>
  <si>
    <t>https://training.gov.au/Organisation/Details/31279</t>
  </si>
  <si>
    <t>https://training.gov.au/Organisation/Details/31345</t>
  </si>
  <si>
    <t>https://training.gov.au/Organisation/Details/31352</t>
  </si>
  <si>
    <t>https://training.gov.au/Organisation/Details/31372</t>
  </si>
  <si>
    <t>https://training.gov.au/Organisation/Details/31385</t>
  </si>
  <si>
    <t>https://training.gov.au/Organisation/Details/31399</t>
  </si>
  <si>
    <t>https://training.gov.au/organisation/details/31425/summary</t>
  </si>
  <si>
    <t xml:space="preserve">https://training.gov.au/Organisation/Details/31444 </t>
  </si>
  <si>
    <t>https://training.gov.au/Organisation/Details/31472</t>
  </si>
  <si>
    <t>https://training.gov.au/Organisation/Details/31494</t>
  </si>
  <si>
    <t>https://training.gov.au/Organisation/Details/31522</t>
  </si>
  <si>
    <t>https://training.gov.au/Organisation/Details/31541</t>
  </si>
  <si>
    <t>https://training.gov.au/Organisation/Details/31544</t>
  </si>
  <si>
    <t>https://training.gov.au/Organisation/Details/31588</t>
  </si>
  <si>
    <t>https://training.gov.au/Organisation/Details/31589</t>
  </si>
  <si>
    <t>https://training.gov.au/Organisation/Details/31634</t>
  </si>
  <si>
    <t>https://training.gov.au/Organisation/Details/31664</t>
  </si>
  <si>
    <t>https://training.gov.au/Organisation/Details/31714</t>
  </si>
  <si>
    <t>https://training.gov.au/Organisation/Details/31718</t>
  </si>
  <si>
    <t>https://training.gov.au/Organisation/Details/31731</t>
  </si>
  <si>
    <t>https://training.gov.au/Organisation/Details/31733</t>
  </si>
  <si>
    <t>https://training.gov.au/Organisation/Details/31822</t>
  </si>
  <si>
    <t>https://training.gov.au/Organisation/Details/31888</t>
  </si>
  <si>
    <t>https://training.gov.au/Organisation/Details/31890</t>
  </si>
  <si>
    <t>https://training.gov.au/Organisation/Details/31900</t>
  </si>
  <si>
    <t>https://training.gov.au/Organisation/Details/31911</t>
  </si>
  <si>
    <t>https://training.gov.au/Organisation/Details/31953</t>
  </si>
  <si>
    <t>https://training.gov.au/Organisation/Details/31955</t>
  </si>
  <si>
    <t>https://training.gov.au/Organisation/Details/31963</t>
  </si>
  <si>
    <t>https://training.gov.au/Organisation/Details/31973</t>
  </si>
  <si>
    <t>https://training.gov.au/Organisation/Details/31982</t>
  </si>
  <si>
    <t>https://training.gov.au/Organisation/Details/31996</t>
  </si>
  <si>
    <t>https://training.gov.au/Organisation/Details/32052</t>
  </si>
  <si>
    <t>https://training.gov.au/Organisation/Details/32108</t>
  </si>
  <si>
    <t>https://training.gov.au/Organisation/Details/32146</t>
  </si>
  <si>
    <t>https://training.gov.au/Organisation/Details/32186</t>
  </si>
  <si>
    <t>https://training.gov.au/Organisation/Details/32199</t>
  </si>
  <si>
    <t>https://training.gov.au/Organisation/Details/32226</t>
  </si>
  <si>
    <t>https://training.gov.au/Organisation/Details/32238</t>
  </si>
  <si>
    <t>https://training.gov.au/Organisation/Details/32252</t>
  </si>
  <si>
    <t>https://training.gov.au/Organisation/Details/32292</t>
  </si>
  <si>
    <t>https://training.gov.au/Organisation/Details/32295</t>
  </si>
  <si>
    <t>https://training.gov.au/Organisation/Details/32299</t>
  </si>
  <si>
    <t>https://training.gov.au/Organisation/Details/32328</t>
  </si>
  <si>
    <t>https://training.gov.au/Organisation/Details/32365</t>
  </si>
  <si>
    <t>https://training.gov.au/Organisation/Details/32376</t>
  </si>
  <si>
    <t>https://training.gov.au/Organisation/Details/32381</t>
  </si>
  <si>
    <t>https://training.gov.au/Organisation/Details/32394</t>
  </si>
  <si>
    <t>https://training.gov.au/Organisation/Details/32409</t>
  </si>
  <si>
    <t>https://training.gov.au/Organisation/Details/32438</t>
  </si>
  <si>
    <t>https://training.gov.au/Organisation/Details/32452</t>
  </si>
  <si>
    <t>https://training.gov.au/Organisation/Details/32456</t>
  </si>
  <si>
    <t>https://training.gov.au/Organisation/Details/32461</t>
  </si>
  <si>
    <t>https://training.gov.au/Organisation/Details/32485</t>
  </si>
  <si>
    <t>https://training.gov.au/Organisation/Details/32505</t>
  </si>
  <si>
    <t>https://training.gov.au/Organisation/Details/32507</t>
  </si>
  <si>
    <t>https://training.gov.au/Organisation/Details/32509</t>
  </si>
  <si>
    <t>https://training.gov.au/Organisation/Details/32512</t>
  </si>
  <si>
    <t>https://training.gov.au/Organisation/Details/32519</t>
  </si>
  <si>
    <t>https://training.gov.au/Organisation/Details/32577</t>
  </si>
  <si>
    <t>https://training.gov.au/Organisation/Details/3399</t>
  </si>
  <si>
    <t>https://training.gov.au/Organisation/Details/40489</t>
  </si>
  <si>
    <t>https://training.gov.au/Organisation/Details/40496</t>
  </si>
  <si>
    <t>https://training.gov.au/Organisation/Details/40515</t>
  </si>
  <si>
    <t>https://training.gov.au/Organisation/Details/40521</t>
  </si>
  <si>
    <t>https://training.gov.au/Organisation/Details/40554</t>
  </si>
  <si>
    <t>https://training.gov.au/Organisation/Details/40592</t>
  </si>
  <si>
    <t>https://training.gov.au/Organisation/Details/40621</t>
  </si>
  <si>
    <t>https://training.gov.au/Organisation/Details/40681</t>
  </si>
  <si>
    <t>https://training.gov.au/Organisation/Details/40727</t>
  </si>
  <si>
    <t>https://training.gov.au/Organisation/Details/40739</t>
  </si>
  <si>
    <t>https://training.gov.au/Organisation/Details/40772</t>
  </si>
  <si>
    <t>https://training.gov.au/Organisation/Details/40785</t>
  </si>
  <si>
    <t>https://training.gov.au/Organisation/Details/40817</t>
  </si>
  <si>
    <t>https://training.gov.au/Organisation/Details/40840</t>
  </si>
  <si>
    <t>https://training.gov.au/Organisation/Details/40871</t>
  </si>
  <si>
    <t>https://training.gov.au/Organisation/Details/40889</t>
  </si>
  <si>
    <t>https://training.gov.au/Organisation/Details/40905</t>
  </si>
  <si>
    <t>https://training.gov.au/Organisation/Details/40907</t>
  </si>
  <si>
    <t>https://training.gov.au/Organisation/Details/40914</t>
  </si>
  <si>
    <t>https://training.gov.au/Organisation/Details/40926</t>
  </si>
  <si>
    <t>https://training.gov.au/Organisation/Details/40928</t>
  </si>
  <si>
    <t>https://training.gov.au/Organisation/Details/40931</t>
  </si>
  <si>
    <t>https://training.gov.au/Organisation/Details/40939</t>
  </si>
  <si>
    <t>https://training.gov.au/Organisation/Details/40973</t>
  </si>
  <si>
    <t>https://training.gov.au/Organisation/Details/41010</t>
  </si>
  <si>
    <t>https://training.gov.au/Organisation/Details/41072</t>
  </si>
  <si>
    <t>https://training.gov.au/Organisation/Details/41096</t>
  </si>
  <si>
    <t>https://training.gov.au/Organisation/Details/41097</t>
  </si>
  <si>
    <t>https://training.gov.au/organisation/details/41176/summary</t>
  </si>
  <si>
    <t>https://training.gov.au/Organisation/Details/41179</t>
  </si>
  <si>
    <t>https://training.gov.au/Organisation/Details/41225</t>
  </si>
  <si>
    <t>https://training.gov.au/Organisation/Details/41248</t>
  </si>
  <si>
    <t>https://training.gov.au/Organisation/Details/41283</t>
  </si>
  <si>
    <t>https://training.gov.au/Organisation/Details/41288</t>
  </si>
  <si>
    <t>https://training.gov.au/Organisation/Details/41304</t>
  </si>
  <si>
    <t>https://training.gov.au/Organisation/Details/41315</t>
  </si>
  <si>
    <t>https://training.gov.au/Organisation/Details/41345</t>
  </si>
  <si>
    <t>https://training.gov.au/Organisation/Details/41351</t>
  </si>
  <si>
    <t>https://training.gov.au/Organisation/Details/41356</t>
  </si>
  <si>
    <t>https://training.gov.au/Organisation/Details/41392</t>
  </si>
  <si>
    <t>https://training.gov.au/Organisation/Details/41410</t>
  </si>
  <si>
    <t>https://training.gov.au/Organisation/Details/41413</t>
  </si>
  <si>
    <t>https://training.gov.au/Organisation/Details/41418</t>
  </si>
  <si>
    <t>https://training.gov.au/Organisation/Details/41469</t>
  </si>
  <si>
    <t>https://training.gov.au/Organisation/Details/41488</t>
  </si>
  <si>
    <t>https://training.gov.au/Organisation/Details/41492</t>
  </si>
  <si>
    <t>https://training.gov.au/Organisation/Details/41551</t>
  </si>
  <si>
    <t>https://training.gov.au/Organisation/Details/41554</t>
  </si>
  <si>
    <t>https://training.gov.au/Organisation/Details/41594</t>
  </si>
  <si>
    <t>https://training.gov.au/Organisation/Details/45028</t>
  </si>
  <si>
    <t>https://training.gov.au/Organisation/Details/45132</t>
  </si>
  <si>
    <t>https://training.gov.au/Organisation/Details/45144</t>
  </si>
  <si>
    <t>https://training.gov.au/Organisation/Details/45199</t>
  </si>
  <si>
    <t>https://training.gov.au/Organisation/Details/45256</t>
  </si>
  <si>
    <t>https://training.gov.au/Organisation/Details/45281</t>
  </si>
  <si>
    <t>https://training.gov.au/Organisation/Details/45310</t>
  </si>
  <si>
    <t>https://training.gov.au/Organisation/Details/45370</t>
  </si>
  <si>
    <t>https://training.gov.au/Organisation/Details/45416</t>
  </si>
  <si>
    <t>https://training.gov.au/Organisation/Details/45438</t>
  </si>
  <si>
    <t>https://training.gov.au/Organisation/Details/45446</t>
  </si>
  <si>
    <t>https://training.gov.au/Organisation/Details/45483</t>
  </si>
  <si>
    <t>https://training.gov.au/Organisation/Details/45546</t>
  </si>
  <si>
    <t>https://training.gov.au/Organisation/Details/45550</t>
  </si>
  <si>
    <t>https://training.gov.au/Organisation/Details/45555</t>
  </si>
  <si>
    <t>https://training.gov.au/Organisation/Details/45597</t>
  </si>
  <si>
    <t>https://training.gov.au/Organisation/Details/45608</t>
  </si>
  <si>
    <t>https://training.gov.au/Organisation/Details/45656</t>
  </si>
  <si>
    <t>https://training.gov.au/Organisation/Details/45671</t>
  </si>
  <si>
    <t>https://training.gov.au/Organisation/Details/45682</t>
  </si>
  <si>
    <t>https://training.gov.au/Organisation/Details/45723</t>
  </si>
  <si>
    <t>https://training.gov.au/Organisation/Details/45726</t>
  </si>
  <si>
    <t>https://training.gov.au/Organisation/Details/45747</t>
  </si>
  <si>
    <t>https://training.gov.au/organisation/details/45778/summary</t>
  </si>
  <si>
    <t>https://training.gov.au/Organisation/Details/45802</t>
  </si>
  <si>
    <t>https://training.gov.au/Organisation/Details/45830</t>
  </si>
  <si>
    <t>https://training.gov.au/organisation/details/45914/summary</t>
  </si>
  <si>
    <t>https://training.gov.au/Organisation/Details/45970</t>
  </si>
  <si>
    <t>https://training.gov.au/Organisation/Details/46100</t>
  </si>
  <si>
    <t>https://training.gov.au/Organisation/Details/4612</t>
  </si>
  <si>
    <t>https://training.gov.au/organisation/details/46244/summary</t>
  </si>
  <si>
    <t>https://training.gov.au/Organisation/Details/46306</t>
  </si>
  <si>
    <t>https://training.gov.au/Organisation/Details/51333</t>
  </si>
  <si>
    <t>https://training.gov.au/Organisation/Details/51681</t>
  </si>
  <si>
    <t>https://training.gov.au/Organisation/Details/5363</t>
  </si>
  <si>
    <t>https://training.gov.au/Organisation/Details/5388</t>
  </si>
  <si>
    <t>https://training.gov.au/Organisation/Details/5553</t>
  </si>
  <si>
    <t>https://training.gov.au/Organisation/Details/5708</t>
  </si>
  <si>
    <t>https://training.gov.au/Organisation/Details/5768</t>
  </si>
  <si>
    <t>https://training.gov.au/Organisation/Details/6139</t>
  </si>
  <si>
    <t>https://training.gov.au/Organisation/Details/6491</t>
  </si>
  <si>
    <t>https://training.gov.au/Organisation/Details/6859</t>
  </si>
  <si>
    <t>https://training.gov.au/Organisation/Details/70023</t>
  </si>
  <si>
    <t>https://training.gov.au/Organisation/Details/7061</t>
  </si>
  <si>
    <t>https://training.gov.au/Organisation/Details/90659</t>
  </si>
  <si>
    <t>https://training.gov.au/Organisation/Details/90702</t>
  </si>
  <si>
    <t>https://training.gov.au/Organisation/Details/90909</t>
  </si>
  <si>
    <t>https://training.gov.au/Organisation/Details/91118</t>
  </si>
  <si>
    <t>https://training.gov.au/Organisation/Details/91138</t>
  </si>
  <si>
    <t>https://training.gov.au/Organisation/Details/91206</t>
  </si>
  <si>
    <t>https://training.gov.au/Organisation/Details/91330</t>
  </si>
  <si>
    <t>https://training.gov.au/Organisation/Details/91401</t>
  </si>
  <si>
    <t>https://training.gov.au/Organisation/Details/91413</t>
  </si>
  <si>
    <t>https://training.gov.au/Organisation/Details/91521</t>
  </si>
  <si>
    <t>https://training.gov.au/Organisation/Details/91528</t>
  </si>
  <si>
    <t>https://training.gov.au/Organisation/Details/91533</t>
  </si>
  <si>
    <t>https://training.gov.au/Organisation/Details/91534</t>
  </si>
  <si>
    <t>https://training.gov.au/Organisation/Details/91577</t>
  </si>
  <si>
    <t>https://training.gov.au/Organisation/Details/91694</t>
  </si>
  <si>
    <t>https://training.gov.au/Organisation/Details/91816</t>
  </si>
  <si>
    <t>https://training.gov.au/Organisation/Details/91826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</si>
</sst>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/>
    <xf numFmtId="0" fontId="2" fillId="0" borderId="1" xfId="0" applyFont="1" applyBorder="1" applyAlignment="1">
      <alignment wrapText="1"/>
    </xf>
    <xf numFmtId="0" fontId="3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Int.oir.qld.gov.au\data\OFSWQ\Lutwyche%20Groups(A-G)\GP-IRL-LUT\LAS\DATA%20MANAGEMENT\SharedData\WhiteCards\WhiteCards.xlsm" TargetMode="External"/><Relationship Id="rId1" Type="http://schemas.openxmlformats.org/officeDocument/2006/relationships/externalLinkPath" Target="file:///\\Int.oir.qld.gov.au\data\OFSWQ\Lutwyche%20Groups(A-G)\GP-IRL-LUT\LAS\DATA%20MANAGEMENT\SharedData\WhiteCards\WhiteCard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GCIT Card Register"/>
      <sheetName val="RTO Register"/>
      <sheetName val="RTO Monthly Report Log"/>
      <sheetName val="Allocated Card Stock"/>
      <sheetName val="WINC Deck Allocation"/>
      <sheetName val="Exemptions"/>
      <sheetName val="Compliance Enforcement"/>
      <sheetName val="Event Log"/>
      <sheetName val="Change Log"/>
      <sheetName val="Validation Tables"/>
      <sheetName val="Definitions"/>
      <sheetName val="Public register-web"/>
    </sheetNames>
    <sheetDataSet>
      <sheetData sheetId="0" refreshError="1"/>
      <sheetData sheetId="1" refreshError="1"/>
      <sheetData sheetId="2">
        <row r="2">
          <cell r="K2">
            <v>44520</v>
          </cell>
          <cell r="L2">
            <v>1</v>
          </cell>
          <cell r="M2">
            <v>1</v>
          </cell>
          <cell r="N2">
            <v>44521</v>
          </cell>
          <cell r="O2">
            <v>45783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AA2" t="str">
            <v>0001</v>
          </cell>
          <cell r="AB2" t="str">
            <v>RTO1 Legal Names</v>
          </cell>
          <cell r="AC2" t="str">
            <v>Back to the Future</v>
          </cell>
          <cell r="AD2" t="str">
            <v>65 650 875 007</v>
          </cell>
          <cell r="AE2" t="str">
            <v>Doc Brown</v>
          </cell>
          <cell r="AF2" t="str">
            <v>1640 Riverside Drive</v>
          </cell>
          <cell r="AG2" t="str">
            <v>Hill Valley</v>
          </cell>
          <cell r="AH2" t="str">
            <v>4001</v>
          </cell>
          <cell r="AP2" t="str">
            <v>Yes</v>
          </cell>
        </row>
        <row r="3">
          <cell r="K3">
            <v>44396</v>
          </cell>
          <cell r="L3">
            <v>44404</v>
          </cell>
          <cell r="M3">
            <v>1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 t="str">
            <v>RTO - Current - Application Approved</v>
          </cell>
          <cell r="AA3" t="str">
            <v>41283</v>
          </cell>
          <cell r="AB3" t="str">
            <v>101 Education Pty Ltd</v>
          </cell>
          <cell r="AC3" t="str">
            <v xml:space="preserve">N/A	</v>
          </cell>
          <cell r="AD3" t="str">
            <v>32 161 218 248</v>
          </cell>
          <cell r="AE3" t="str">
            <v>Mr Josip Lozina (CEO); Mrs Dania Lozina (Administrator)</v>
          </cell>
          <cell r="AF3" t="str">
            <v>142 Tennyson Road</v>
          </cell>
          <cell r="AG3" t="str">
            <v>Tennyson Point</v>
          </cell>
          <cell r="AH3" t="str">
            <v>2111</v>
          </cell>
          <cell r="AP3" t="str">
            <v>No</v>
          </cell>
        </row>
        <row r="4">
          <cell r="K4">
            <v>1</v>
          </cell>
          <cell r="L4">
            <v>1</v>
          </cell>
          <cell r="M4">
            <v>1</v>
          </cell>
          <cell r="N4">
            <v>1</v>
          </cell>
          <cell r="O4">
            <v>1</v>
          </cell>
          <cell r="P4">
            <v>1</v>
          </cell>
          <cell r="Q4">
            <v>1</v>
          </cell>
          <cell r="R4">
            <v>1</v>
          </cell>
          <cell r="S4">
            <v>1</v>
          </cell>
          <cell r="T4" t="str">
            <v>RTO - Terminated by WHSQ</v>
          </cell>
          <cell r="AA4" t="str">
            <v>45002</v>
          </cell>
          <cell r="AB4" t="str">
            <v>1010 ID Pty Ltd</v>
          </cell>
          <cell r="AC4" t="str">
            <v>Saferite</v>
          </cell>
          <cell r="AD4" t="str">
            <v>19 128 688 255</v>
          </cell>
          <cell r="AE4" t="str">
            <v>Tom Raguz</v>
          </cell>
          <cell r="AF4" t="str">
            <v>206/5 Queen Street</v>
          </cell>
          <cell r="AG4" t="str">
            <v>Rosebery</v>
          </cell>
          <cell r="AH4" t="str">
            <v>2018</v>
          </cell>
        </row>
        <row r="5"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1</v>
          </cell>
          <cell r="S5">
            <v>1</v>
          </cell>
          <cell r="T5" t="str">
            <v>RTO - Current - Application Approved</v>
          </cell>
          <cell r="AA5" t="str">
            <v>91521</v>
          </cell>
          <cell r="AB5" t="str">
            <v>Absolute Education Pty Ltd</v>
          </cell>
          <cell r="AC5" t="str">
            <v>001 AAA Absolute Education</v>
          </cell>
          <cell r="AD5" t="str">
            <v>12 110 570 851</v>
          </cell>
          <cell r="AE5" t="str">
            <v>Mr Peter Berginc (Director)</v>
          </cell>
          <cell r="AF5" t="str">
            <v>28 Monash Parade</v>
          </cell>
          <cell r="AG5" t="str">
            <v>Dee Why</v>
          </cell>
          <cell r="AH5" t="str">
            <v>2099</v>
          </cell>
          <cell r="AP5" t="str">
            <v>No</v>
          </cell>
        </row>
        <row r="6"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 t="str">
            <v>RTO - Terminated by RTO</v>
          </cell>
          <cell r="AA6" t="str">
            <v>32213</v>
          </cell>
          <cell r="AB6" t="str">
            <v>Accell Pty Ltd</v>
          </cell>
          <cell r="AC6" t="str">
            <v>N/A</v>
          </cell>
          <cell r="AD6" t="str">
            <v>48 115 820 623</v>
          </cell>
          <cell r="AE6" t="str">
            <v>Lee Walters</v>
          </cell>
          <cell r="AF6" t="str">
            <v>3 Obi Obi Rd</v>
          </cell>
          <cell r="AG6" t="str">
            <v>Mapleton</v>
          </cell>
          <cell r="AH6" t="str">
            <v>4560</v>
          </cell>
        </row>
        <row r="7"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 t="str">
            <v>RTO - Current - Application Approved</v>
          </cell>
          <cell r="AA7" t="str">
            <v>90659</v>
          </cell>
          <cell r="AB7" t="str">
            <v>Achieve Training &amp; Assessment Services Pty Ltd</v>
          </cell>
          <cell r="AC7" t="str">
            <v>N/A</v>
          </cell>
          <cell r="AD7" t="str">
            <v>27 102 480 633</v>
          </cell>
          <cell r="AE7" t="str">
            <v>Mr Victor Walker (Manager)</v>
          </cell>
          <cell r="AF7" t="str">
            <v>13A Prince of Walse Ave</v>
          </cell>
          <cell r="AG7" t="str">
            <v>Unanderra</v>
          </cell>
          <cell r="AH7" t="str">
            <v>2526</v>
          </cell>
          <cell r="AP7" t="str">
            <v>No</v>
          </cell>
        </row>
        <row r="8"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 t="str">
            <v>RTO - Current - Application Approved</v>
          </cell>
          <cell r="AA8" t="str">
            <v>40905</v>
          </cell>
          <cell r="AB8" t="str">
            <v>Acquired Awareness Training Centre Pty Ltd</v>
          </cell>
          <cell r="AC8" t="str">
            <v>N/A</v>
          </cell>
          <cell r="AD8" t="str">
            <v>15 118 715 058</v>
          </cell>
          <cell r="AE8" t="str">
            <v>Mr Corey Reibelt (CEO); Ms Tamara Pitt (Administration Officer)</v>
          </cell>
          <cell r="AF8" t="str">
            <v>13 Leonard Cres</v>
          </cell>
          <cell r="AG8" t="str">
            <v>Brendale</v>
          </cell>
          <cell r="AH8" t="str">
            <v>4500</v>
          </cell>
          <cell r="AP8" t="str">
            <v>No</v>
          </cell>
        </row>
        <row r="9"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 t="str">
            <v>RTO - Current - Application Approved</v>
          </cell>
          <cell r="AA9" t="str">
            <v>32452</v>
          </cell>
          <cell r="AB9" t="str">
            <v>Adapt Education Pty Ltd</v>
          </cell>
          <cell r="AC9" t="str">
            <v>My Industry Training</v>
          </cell>
          <cell r="AD9" t="str">
            <v>60 613 199 643</v>
          </cell>
          <cell r="AE9" t="str">
            <v>Mr Glen Parker (CEO); Ms Kelly Dowsett (Operations Manager)</v>
          </cell>
          <cell r="AF9" t="str">
            <v>393 Esplanade</v>
          </cell>
          <cell r="AG9" t="str">
            <v>Manly</v>
          </cell>
          <cell r="AH9" t="str">
            <v>4179</v>
          </cell>
          <cell r="AP9" t="str">
            <v>No</v>
          </cell>
        </row>
        <row r="10">
          <cell r="K10">
            <v>44491</v>
          </cell>
          <cell r="L10">
            <v>1</v>
          </cell>
          <cell r="M10">
            <v>1</v>
          </cell>
          <cell r="N10">
            <v>1</v>
          </cell>
          <cell r="O10">
            <v>44964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 t="str">
            <v>RTO - Current - Application Approved</v>
          </cell>
          <cell r="AA10" t="str">
            <v>91534</v>
          </cell>
          <cell r="AB10" t="str">
            <v>Advance Consulting &amp; Training Pty Ltd</v>
          </cell>
          <cell r="AC10" t="str">
            <v>Advance OH&amp;S Consulting &amp; Training</v>
          </cell>
          <cell r="AD10" t="str">
            <v>49 121 557 042</v>
          </cell>
          <cell r="AE10" t="str">
            <v>Mr Ahmed Hamodeh (Director); Ms Louise Mura (Training Coordinator)</v>
          </cell>
          <cell r="AF10" t="str">
            <v>Shop 4 78 Cahors Rd</v>
          </cell>
          <cell r="AG10" t="str">
            <v>Padstow</v>
          </cell>
          <cell r="AH10" t="str">
            <v>2213</v>
          </cell>
          <cell r="AP10" t="str">
            <v>No</v>
          </cell>
        </row>
        <row r="11">
          <cell r="T11" t="str">
            <v>RTO - Terminated - ASQA Registration/Scope Ended</v>
          </cell>
          <cell r="AA11" t="str">
            <v>40553</v>
          </cell>
          <cell r="AB11" t="str">
            <v>All Trades Queensland Pty Ltd</v>
          </cell>
          <cell r="AC11" t="str">
            <v>All Trade Queensland</v>
          </cell>
          <cell r="AD11" t="str">
            <v>99 115 379 461</v>
          </cell>
          <cell r="AE11" t="str">
            <v>Mr Cindy Evans</v>
          </cell>
          <cell r="AF11" t="str">
            <v>37-43 Commercial Drive</v>
          </cell>
          <cell r="AG11" t="str">
            <v>Shailer Park</v>
          </cell>
          <cell r="AH11" t="str">
            <v>4128</v>
          </cell>
        </row>
        <row r="12"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 t="str">
            <v>RTO - Current - Application Approved</v>
          </cell>
          <cell r="AA12" t="str">
            <v>90909</v>
          </cell>
          <cell r="AB12" t="str">
            <v>Allens Training Pty Ltd</v>
          </cell>
          <cell r="AC12" t="str">
            <v>Allen's Training</v>
          </cell>
          <cell r="AD12" t="str">
            <v>63 114 756 857</v>
          </cell>
          <cell r="AE12" t="str">
            <v>Mr Neville James Allen (CEO); Mrs Ferne Robinson (Manager)</v>
          </cell>
          <cell r="AF12" t="str">
            <v>Unit 1 6 Bottlebrush Ave</v>
          </cell>
          <cell r="AG12" t="str">
            <v>Noosa Heads</v>
          </cell>
          <cell r="AH12" t="str">
            <v>4567</v>
          </cell>
          <cell r="AP12" t="str">
            <v>No</v>
          </cell>
        </row>
        <row r="13">
          <cell r="T13" t="str">
            <v>RTO - Terminated - ASQA Registration/Scope Ended</v>
          </cell>
          <cell r="AA13" t="str">
            <v>41312</v>
          </cell>
          <cell r="AB13" t="str">
            <v>Ambition Training Pty Ltd atf Maddiehan Trust</v>
          </cell>
          <cell r="AC13" t="str">
            <v>N/A</v>
          </cell>
          <cell r="AD13" t="str">
            <v>59 153 779 858</v>
          </cell>
          <cell r="AE13" t="str">
            <v>Steven Brooke</v>
          </cell>
          <cell r="AF13" t="str">
            <v>21 Schooner Street</v>
          </cell>
          <cell r="AG13" t="str">
            <v>Tannum</v>
          </cell>
          <cell r="AH13" t="str">
            <v>4680</v>
          </cell>
        </row>
        <row r="14">
          <cell r="T14" t="str">
            <v>RTO - Terminated by RTO</v>
          </cell>
          <cell r="AA14" t="str">
            <v>32336</v>
          </cell>
          <cell r="AB14" t="str">
            <v>Anderson Construction Training Pty Ltd</v>
          </cell>
          <cell r="AC14" t="str">
            <v>Mackay Construction Training</v>
          </cell>
          <cell r="AD14" t="str">
            <v>92 295 193 512</v>
          </cell>
          <cell r="AE14" t="str">
            <v>Mr Damian Faulkhead</v>
          </cell>
          <cell r="AF14" t="str">
            <v>2 Malop St</v>
          </cell>
          <cell r="AG14" t="str">
            <v>Geelong</v>
          </cell>
          <cell r="AH14" t="str">
            <v>3220</v>
          </cell>
        </row>
        <row r="15">
          <cell r="T15" t="str">
            <v>RTO - Terminated - ASQA Registration/Scope Ended</v>
          </cell>
          <cell r="AA15" t="str">
            <v>40955</v>
          </cell>
          <cell r="AB15" t="str">
            <v>Aptitude Skills &amp; Knowledge Training College Pty Ltd</v>
          </cell>
          <cell r="AC15" t="str">
            <v>A.S.K Training College</v>
          </cell>
          <cell r="AD15" t="str">
            <v>78 166 167 193</v>
          </cell>
          <cell r="AE15" t="str">
            <v>Mohamed Sharaz</v>
          </cell>
          <cell r="AF15" t="str">
            <v>25 Melia Close</v>
          </cell>
          <cell r="AG15" t="str">
            <v>Mount Sheridan</v>
          </cell>
          <cell r="AH15" t="str">
            <v>4868</v>
          </cell>
        </row>
        <row r="16">
          <cell r="T16" t="str">
            <v>RTO - Terminated by RTO</v>
          </cell>
          <cell r="AA16" t="str">
            <v>3562</v>
          </cell>
          <cell r="AB16" t="str">
            <v>Arbortrim Australia Pty Ltd</v>
          </cell>
          <cell r="AC16" t="str">
            <v>N/A</v>
          </cell>
          <cell r="AD16" t="str">
            <v>42 093 958 804</v>
          </cell>
          <cell r="AE16" t="str">
            <v>Renee Furfaro </v>
          </cell>
          <cell r="AF16" t="str">
            <v>105 South Gippsland Highway</v>
          </cell>
          <cell r="AG16" t="str">
            <v>Dandenong</v>
          </cell>
          <cell r="AH16" t="str">
            <v>3175</v>
          </cell>
        </row>
        <row r="17"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 t="str">
            <v>RTO - Current - Application Approved</v>
          </cell>
          <cell r="AA17" t="str">
            <v>32108</v>
          </cell>
          <cell r="AB17" t="str">
            <v>Ascent Training Solutions Pty Ltd</v>
          </cell>
          <cell r="AC17" t="str">
            <v>N/A</v>
          </cell>
          <cell r="AD17" t="str">
            <v>14 139 715 567</v>
          </cell>
          <cell r="AE17" t="str">
            <v>Mr Grant Nicholas (CEO); Ms Tileah Miles (RTO Manager)</v>
          </cell>
          <cell r="AF17" t="str">
            <v>16 Holland St</v>
          </cell>
          <cell r="AG17" t="str">
            <v>Northgate</v>
          </cell>
          <cell r="AH17" t="str">
            <v>4013</v>
          </cell>
          <cell r="AP17" t="str">
            <v>No</v>
          </cell>
        </row>
        <row r="18"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 t="str">
            <v>RTO - Current - Application Approved</v>
          </cell>
          <cell r="AA18" t="str">
            <v>20749</v>
          </cell>
          <cell r="AB18" t="str">
            <v>Ash Pty Ltd</v>
          </cell>
          <cell r="AC18" t="str">
            <v>Ashly Institute of Trading- Integracom</v>
          </cell>
          <cell r="AD18" t="str">
            <v>76 060 542 789</v>
          </cell>
          <cell r="AE18" t="str">
            <v>Ms Fiona Dunkerton (CEO); Ms Athena Moloney (Operations Manager); Mrs Rebekah Faleafaga (RTO Administrator)</v>
          </cell>
          <cell r="AF18" t="str">
            <v>Suite 218, 8-34 Gladstone Park Dr</v>
          </cell>
          <cell r="AG18" t="str">
            <v>Gladstone Park</v>
          </cell>
          <cell r="AH18" t="str">
            <v>3043</v>
          </cell>
          <cell r="AP18" t="str">
            <v>No</v>
          </cell>
        </row>
        <row r="19"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 t="str">
            <v>RTO - Current - Application Approved</v>
          </cell>
          <cell r="AA19" t="str">
            <v>6139</v>
          </cell>
          <cell r="AB19" t="str">
            <v>Ashtrail Pty Ltd</v>
          </cell>
          <cell r="AC19" t="str">
            <v>Major Training Group</v>
          </cell>
          <cell r="AD19" t="str">
            <v>79 870 019 425</v>
          </cell>
          <cell r="AE19" t="str">
            <v>Mr Matthew Tenkate (CEO); Ms Lauren Bowles (Compliance Officer)</v>
          </cell>
          <cell r="AF19" t="str">
            <v>38 Prairie Rd</v>
          </cell>
          <cell r="AG19" t="str">
            <v>Yatala</v>
          </cell>
          <cell r="AH19" t="str">
            <v>4207</v>
          </cell>
          <cell r="AP19" t="str">
            <v>No</v>
          </cell>
        </row>
        <row r="20"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 t="str">
            <v>RTO - Current - Application Approved</v>
          </cell>
          <cell r="AA20" t="str">
            <v>31718</v>
          </cell>
          <cell r="AB20" t="str">
            <v>Asset Training Australia Pty Ltd</v>
          </cell>
          <cell r="AC20" t="str">
            <v>Asset Training Australia</v>
          </cell>
          <cell r="AD20" t="str">
            <v>80 118 083 971</v>
          </cell>
          <cell r="AE20" t="str">
            <v>Mr Mark Costello (CEO)</v>
          </cell>
          <cell r="AF20" t="str">
            <v>1/18 Flinders Pde</v>
          </cell>
          <cell r="AG20" t="str">
            <v>North Lakes</v>
          </cell>
          <cell r="AH20" t="str">
            <v>4509</v>
          </cell>
          <cell r="AP20" t="str">
            <v>No</v>
          </cell>
        </row>
        <row r="21"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 t="str">
            <v>RTO - Current - Application Approved</v>
          </cell>
          <cell r="AA21" t="str">
            <v>31544</v>
          </cell>
          <cell r="AB21" t="str">
            <v>Astra Group Services Pty Ltd</v>
          </cell>
          <cell r="AC21" t="str">
            <v>N/A</v>
          </cell>
          <cell r="AD21" t="str">
            <v>92 117 386 615</v>
          </cell>
          <cell r="AE21" t="str">
            <v>Mr Ben Jones (CEO)</v>
          </cell>
          <cell r="AF21" t="str">
            <v>Unit 6, 211 Leitchs Road</v>
          </cell>
          <cell r="AG21" t="str">
            <v>Brendale</v>
          </cell>
          <cell r="AH21" t="str">
            <v>4500</v>
          </cell>
          <cell r="AP21" t="str">
            <v>No</v>
          </cell>
        </row>
        <row r="22">
          <cell r="T22" t="str">
            <v>RTO - Terminated - ASQA Registration/Scope Ended</v>
          </cell>
          <cell r="AA22" t="str">
            <v>32374</v>
          </cell>
          <cell r="AB22" t="str">
            <v>AusSAFE Consulting Pty Ltd</v>
          </cell>
          <cell r="AC22" t="str">
            <v>N/A</v>
          </cell>
          <cell r="AD22" t="str">
            <v>90 086 516 707</v>
          </cell>
          <cell r="AE22" t="str">
            <v>Mr Ralph Willson</v>
          </cell>
          <cell r="AF22" t="str">
            <v>Suite 1, 19 Mayneview Street</v>
          </cell>
          <cell r="AG22" t="str">
            <v>Milton</v>
          </cell>
          <cell r="AH22" t="str">
            <v>4064</v>
          </cell>
        </row>
        <row r="23">
          <cell r="K23">
            <v>1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 t="str">
            <v>RTO - Current - Application Approved</v>
          </cell>
          <cell r="AA23" t="str">
            <v>31731</v>
          </cell>
          <cell r="AB23" t="str">
            <v>Austin &amp; Vanohr Pty Ltd</v>
          </cell>
          <cell r="AC23" t="str">
            <v>Australian Consolidated Training</v>
          </cell>
          <cell r="AD23" t="str">
            <v>72 130 359 474</v>
          </cell>
          <cell r="AE23" t="str">
            <v>Ms Christine Anne Vanohr (CEO); Ms Wendy Bishop (Administration Officer)</v>
          </cell>
          <cell r="AF23" t="str">
            <v>36 Serrata Circuit</v>
          </cell>
          <cell r="AG23" t="str">
            <v>Forest Lake</v>
          </cell>
          <cell r="AH23" t="str">
            <v>4078</v>
          </cell>
          <cell r="AP23" t="str">
            <v>No</v>
          </cell>
        </row>
        <row r="24"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1</v>
          </cell>
          <cell r="S24">
            <v>1</v>
          </cell>
          <cell r="T24" t="str">
            <v>RTO - Current - Application Approved</v>
          </cell>
          <cell r="AA24" t="str">
            <v>40554</v>
          </cell>
          <cell r="AB24" t="str">
            <v>Australasian Training and Education Centre Pty Ltd</v>
          </cell>
          <cell r="AC24" t="str">
            <v>Australasian Training and Education Centre</v>
          </cell>
          <cell r="AD24" t="str">
            <v>54 158 933 370</v>
          </cell>
          <cell r="AE24" t="str">
            <v>Mr Lance Tulloch (CEO)</v>
          </cell>
          <cell r="AF24" t="str">
            <v>129 Lewis Dr</v>
          </cell>
          <cell r="AG24" t="str">
            <v>Karalee</v>
          </cell>
          <cell r="AH24" t="str">
            <v>4306</v>
          </cell>
          <cell r="AP24" t="str">
            <v>No</v>
          </cell>
        </row>
        <row r="25">
          <cell r="T25" t="str">
            <v>RTO - Terminated - ASQA Registration/Scope Ended</v>
          </cell>
          <cell r="AA25" t="str">
            <v>32201</v>
          </cell>
          <cell r="AB25" t="str">
            <v>Australian Construction Training Services Pty Ltd</v>
          </cell>
          <cell r="AC25" t="str">
            <v>N/A</v>
          </cell>
          <cell r="AD25" t="str">
            <v>42 120 546 125</v>
          </cell>
          <cell r="AE25" t="str">
            <v>Mr Charles Fearon</v>
          </cell>
          <cell r="AF25" t="str">
            <v>Unit 1/5 Activity Crescent</v>
          </cell>
          <cell r="AG25" t="str">
            <v>Molendinar</v>
          </cell>
          <cell r="AH25" t="str">
            <v>4214</v>
          </cell>
        </row>
        <row r="26">
          <cell r="K26">
            <v>1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 t="str">
            <v>RTO - Current - Application Approved</v>
          </cell>
          <cell r="AA26" t="str">
            <v>45199</v>
          </cell>
          <cell r="AB26" t="str">
            <v>Australian Liberty College Pty Ltd</v>
          </cell>
          <cell r="AC26" t="str">
            <v>Liberty Construction College</v>
          </cell>
          <cell r="AD26" t="str">
            <v>78 617 894 943</v>
          </cell>
          <cell r="AE26" t="str">
            <v>Mr Ricardo Jorge Novais (CEO); Ms Julie Lee (Principal)</v>
          </cell>
          <cell r="AF26" t="str">
            <v>Office 7/197 Murarrie Rd</v>
          </cell>
          <cell r="AG26" t="str">
            <v>Murarrie</v>
          </cell>
          <cell r="AH26" t="str">
            <v>4172</v>
          </cell>
          <cell r="AP26" t="str">
            <v>No</v>
          </cell>
        </row>
        <row r="27">
          <cell r="T27" t="str">
            <v>RTO - Terminated by RTO</v>
          </cell>
          <cell r="AA27" t="str">
            <v>40947</v>
          </cell>
          <cell r="AB27" t="str">
            <v>Australian Skills &amp; Training Academy Holdings Pty Ltd</v>
          </cell>
          <cell r="AC27" t="str">
            <v>N/A</v>
          </cell>
          <cell r="AD27" t="str">
            <v>16 163 768 910</v>
          </cell>
          <cell r="AE27" t="str">
            <v>Mr Jamal Chamma</v>
          </cell>
          <cell r="AF27" t="str">
            <v>11/46-50 Wellington Road</v>
          </cell>
          <cell r="AG27" t="str">
            <v>South Granville</v>
          </cell>
          <cell r="AH27" t="str">
            <v>2142</v>
          </cell>
        </row>
        <row r="28"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 t="str">
            <v>RTO - Current - Application Approved</v>
          </cell>
          <cell r="AA28" t="str">
            <v>32519</v>
          </cell>
          <cell r="AB28" t="str">
            <v>Australian Skills Group Pty Ltd</v>
          </cell>
          <cell r="AC28" t="str">
            <v>Australian Skills Recruitment</v>
          </cell>
          <cell r="AD28" t="str">
            <v>15 153 317 821</v>
          </cell>
          <cell r="AE28" t="str">
            <v>Mr Paul Scaysbrook (CEO); Ms Fiona Beverley (GM Quality &amp; Compliance)</v>
          </cell>
          <cell r="AF28" t="str">
            <v>15 Terrence Rd</v>
          </cell>
          <cell r="AG28" t="str">
            <v>Brendale</v>
          </cell>
          <cell r="AH28" t="str">
            <v>4500</v>
          </cell>
          <cell r="AP28" t="str">
            <v>No</v>
          </cell>
        </row>
        <row r="29"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 t="str">
            <v>RTO - Current - Application Approved</v>
          </cell>
          <cell r="AA29" t="str">
            <v>30200</v>
          </cell>
          <cell r="AB29" t="str">
            <v>Australian Training Institute Pty Ltd</v>
          </cell>
          <cell r="AC29" t="str">
            <v>Australian Training Institute</v>
          </cell>
          <cell r="AD29" t="str">
            <v>22 149 390 616</v>
          </cell>
          <cell r="AE29" t="str">
            <v>Mr Jams Walker (CEO); Ms Bekky Somer  (RTO Manager)</v>
          </cell>
          <cell r="AF29" t="str">
            <v>Shop 1, 10 Albion Road</v>
          </cell>
          <cell r="AG29" t="str">
            <v>Albion</v>
          </cell>
          <cell r="AH29" t="str">
            <v>4010</v>
          </cell>
          <cell r="AP29" t="str">
            <v>No</v>
          </cell>
        </row>
        <row r="30">
          <cell r="T30" t="str">
            <v>RTO - Terminated - ASQA Registration/Scope Ended</v>
          </cell>
          <cell r="AA30" t="str">
            <v>2437</v>
          </cell>
          <cell r="AB30" t="str">
            <v>Axial Training Pty Ltd</v>
          </cell>
          <cell r="AC30" t="str">
            <v>N/A</v>
          </cell>
          <cell r="AD30" t="str">
            <v>15 077 405 442</v>
          </cell>
          <cell r="AE30" t="str">
            <v>Mr Val Llewellyn</v>
          </cell>
          <cell r="AF30" t="str">
            <v>3398-3402 Pacific Hwy, Springwood Qld 4127</v>
          </cell>
          <cell r="AG30" t="str">
            <v>Springwood</v>
          </cell>
          <cell r="AH30" t="str">
            <v>4127</v>
          </cell>
        </row>
        <row r="31">
          <cell r="K31">
            <v>1</v>
          </cell>
          <cell r="L31">
            <v>1</v>
          </cell>
          <cell r="M31">
            <v>1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 t="str">
            <v>RTO - Current - Application Approved</v>
          </cell>
          <cell r="AA31" t="str">
            <v>40489</v>
          </cell>
          <cell r="AB31" t="str">
            <v>Axiom Syndicate Pty Ltd</v>
          </cell>
          <cell r="AC31" t="str">
            <v>Axiom College</v>
          </cell>
          <cell r="AD31" t="str">
            <v>86 535 290 515</v>
          </cell>
          <cell r="AE31" t="str">
            <v>Ms Beverley McKee (Director); Mr John Woodward (RTO Manager)</v>
          </cell>
          <cell r="AF31" t="str">
            <v>18 Mayneview St</v>
          </cell>
          <cell r="AG31" t="str">
            <v>Milton</v>
          </cell>
          <cell r="AH31" t="str">
            <v>4064</v>
          </cell>
          <cell r="AP31" t="str">
            <v>No</v>
          </cell>
        </row>
        <row r="32">
          <cell r="K32">
            <v>1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 t="str">
            <v>RTO - Current - Application Approved</v>
          </cell>
          <cell r="AA32" t="str">
            <v>41392</v>
          </cell>
          <cell r="AB32" t="str">
            <v>Axxis Project Training Pty Ltd</v>
          </cell>
          <cell r="AC32" t="str">
            <v>Axxis Training</v>
          </cell>
          <cell r="AD32" t="str">
            <v>70 606 546 785</v>
          </cell>
          <cell r="AE32" t="str">
            <v>Mr Alan Mutton (CEO); Mrs Sally Mutton (Administrator)</v>
          </cell>
          <cell r="AF32" t="str">
            <v>5 Huntington St</v>
          </cell>
          <cell r="AG32" t="str">
            <v>Clontarf</v>
          </cell>
          <cell r="AH32" t="str">
            <v>4019</v>
          </cell>
          <cell r="AP32" t="str">
            <v>No</v>
          </cell>
        </row>
        <row r="33">
          <cell r="T33" t="str">
            <v>RTO - Terminated - ASQA Registration/Scope Ended</v>
          </cell>
          <cell r="AA33" t="str">
            <v>31627</v>
          </cell>
          <cell r="AB33" t="str">
            <v>Baclites Consultancy Pty Ltd</v>
          </cell>
          <cell r="AC33" t="str">
            <v>N/A</v>
          </cell>
          <cell r="AD33" t="str">
            <v>40 011 034 094</v>
          </cell>
          <cell r="AE33" t="str">
            <v>Mr Alan Pryde</v>
          </cell>
          <cell r="AF33" t="str">
            <v>Unit 7/12 Billabong Street</v>
          </cell>
          <cell r="AG33" t="str">
            <v>Stafford</v>
          </cell>
          <cell r="AH33" t="str">
            <v>4053</v>
          </cell>
        </row>
        <row r="34"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R34">
            <v>1</v>
          </cell>
          <cell r="S34">
            <v>1</v>
          </cell>
          <cell r="T34" t="str">
            <v>RTO - Current - Application Approved</v>
          </cell>
          <cell r="AA34" t="str">
            <v>110029</v>
          </cell>
          <cell r="AB34" t="str">
            <v>Baseline Training Pty Ltd</v>
          </cell>
          <cell r="AC34" t="str">
            <v>N/A</v>
          </cell>
          <cell r="AD34" t="str">
            <v>21 131 814 330</v>
          </cell>
          <cell r="AE34" t="str">
            <v>Mr Chris Maguire (CEO); Ms Robyn Tyler (National RTO Manager)</v>
          </cell>
          <cell r="AF34" t="str">
            <v>Building 7, 231 Holt Street</v>
          </cell>
          <cell r="AG34" t="str">
            <v>PINKENBA</v>
          </cell>
          <cell r="AH34" t="str">
            <v>4008</v>
          </cell>
          <cell r="AP34" t="str">
            <v>No</v>
          </cell>
        </row>
        <row r="35"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 t="str">
            <v>RTO - Current - Application Approved</v>
          </cell>
          <cell r="AA35" t="str">
            <v>30229</v>
          </cell>
          <cell r="AB35" t="str">
            <v>Beerwah State High School</v>
          </cell>
          <cell r="AC35" t="str">
            <v>N/A</v>
          </cell>
          <cell r="AD35" t="str">
            <v>93 096 910 678</v>
          </cell>
          <cell r="AE35" t="str">
            <v>Ms Lyn McDonald (Principal); Ms Irene Lucke (RTO Manager)</v>
          </cell>
          <cell r="AF35" t="str">
            <v>35 Roberts Rd</v>
          </cell>
          <cell r="AG35" t="str">
            <v>Beerwah</v>
          </cell>
          <cell r="AH35" t="str">
            <v>4519</v>
          </cell>
          <cell r="AP35" t="str">
            <v>Yes</v>
          </cell>
        </row>
        <row r="36">
          <cell r="T36" t="str">
            <v>RTO - Terminated by RTO</v>
          </cell>
          <cell r="AA36" t="str">
            <v>30822</v>
          </cell>
          <cell r="AB36" t="str">
            <v>Biga Ltd</v>
          </cell>
          <cell r="AC36" t="str">
            <v>Biga Training</v>
          </cell>
          <cell r="AD36" t="str">
            <v>89 091 512 702</v>
          </cell>
          <cell r="AE36" t="str">
            <v>Mr Bradley Gray</v>
          </cell>
          <cell r="AF36" t="str">
            <v>300 South Pine Rd</v>
          </cell>
          <cell r="AG36" t="str">
            <v>Brendale</v>
          </cell>
          <cell r="AH36" t="str">
            <v>4500</v>
          </cell>
        </row>
        <row r="37">
          <cell r="T37" t="str">
            <v>RTO - Application Withdrawn</v>
          </cell>
          <cell r="AA37" t="str">
            <v>32128</v>
          </cell>
          <cell r="AB37" t="str">
            <v>Billabong Training Solutions Pty Ltd</v>
          </cell>
          <cell r="AC37" t="str">
            <v>N/A</v>
          </cell>
          <cell r="AE37" t="str">
            <v>Adrian</v>
          </cell>
          <cell r="AF37" t="str">
            <v>6 Tavistock Cres</v>
          </cell>
          <cell r="AG37" t="str">
            <v>MURRUMBA DOWNS</v>
          </cell>
          <cell r="AH37" t="str">
            <v>4503</v>
          </cell>
        </row>
        <row r="38">
          <cell r="K38">
            <v>43958</v>
          </cell>
          <cell r="L38">
            <v>1</v>
          </cell>
          <cell r="M38">
            <v>1</v>
          </cell>
          <cell r="N38">
            <v>1</v>
          </cell>
          <cell r="O38">
            <v>43989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 t="str">
            <v>RTO - Current - Application Approved</v>
          </cell>
          <cell r="AA38" t="str">
            <v>31193</v>
          </cell>
          <cell r="AB38" t="str">
            <v>Blue Dog Training Pty Ltd</v>
          </cell>
          <cell r="AC38" t="str">
            <v>N/A</v>
          </cell>
          <cell r="AD38" t="str">
            <v>51 110 179 407</v>
          </cell>
          <cell r="AE38" t="str">
            <v>Ms Chelsea Holden (A/Manager); Mr Michelle Campbell (CEO)</v>
          </cell>
          <cell r="AF38" t="str">
            <v>18 Heussler Terrace</v>
          </cell>
          <cell r="AG38" t="str">
            <v>Milton</v>
          </cell>
          <cell r="AH38" t="str">
            <v>4064</v>
          </cell>
          <cell r="AP38" t="str">
            <v>No</v>
          </cell>
        </row>
        <row r="39">
          <cell r="T39" t="str">
            <v>RTO - Terminated by RTO</v>
          </cell>
          <cell r="AA39" t="str">
            <v>31248</v>
          </cell>
          <cell r="AB39" t="str">
            <v>Blueprint Employment &amp; Training Incorporated</v>
          </cell>
          <cell r="AC39" t="str">
            <v>N/A</v>
          </cell>
          <cell r="AD39" t="str">
            <v>48 753 109 318</v>
          </cell>
          <cell r="AE39" t="str">
            <v>Richard Lindner</v>
          </cell>
          <cell r="AF39" t="str">
            <v>5/67 Compton Rd</v>
          </cell>
          <cell r="AG39" t="str">
            <v>Underwood</v>
          </cell>
          <cell r="AH39" t="str">
            <v>4119</v>
          </cell>
        </row>
        <row r="40">
          <cell r="T40" t="str">
            <v>RTO - Terminated by WHSQ</v>
          </cell>
          <cell r="AA40" t="str">
            <v>32489</v>
          </cell>
          <cell r="AB40" t="str">
            <v>Boomerang Training Solution Pty Ltd</v>
          </cell>
          <cell r="AC40" t="str">
            <v>N/A</v>
          </cell>
          <cell r="AD40" t="str">
            <v>55 159 772 540</v>
          </cell>
          <cell r="AE40" t="str">
            <v>Mr. Christopher Whitfield</v>
          </cell>
          <cell r="AF40" t="str">
            <v>1</v>
          </cell>
          <cell r="AG40" t="str">
            <v>Inala</v>
          </cell>
          <cell r="AH40" t="str">
            <v>4077</v>
          </cell>
        </row>
        <row r="41">
          <cell r="T41" t="str">
            <v>RTO - Terminated by WHSQ</v>
          </cell>
          <cell r="AA41" t="str">
            <v>32303</v>
          </cell>
          <cell r="AB41" t="str">
            <v>Brisbane Career College Pty Ltd</v>
          </cell>
          <cell r="AC41" t="str">
            <v>Sero Institute</v>
          </cell>
          <cell r="AD41" t="str">
            <v>96 143 846 093</v>
          </cell>
          <cell r="AE41" t="str">
            <v>Prashant Patel</v>
          </cell>
          <cell r="AF41" t="str">
            <v>6 Scarborough Street</v>
          </cell>
          <cell r="AG41" t="str">
            <v>Southport</v>
          </cell>
          <cell r="AH41" t="str">
            <v>4215</v>
          </cell>
        </row>
        <row r="42">
          <cell r="T42" t="str">
            <v>RTO - Terminated - ASQA Registration/Scope Ended</v>
          </cell>
          <cell r="AA42" t="str">
            <v>41066</v>
          </cell>
          <cell r="AB42" t="str">
            <v>Broadband Connect Pty Ltd</v>
          </cell>
          <cell r="AC42" t="str">
            <v>N/A</v>
          </cell>
          <cell r="AD42" t="str">
            <v>14 168 317 477</v>
          </cell>
          <cell r="AE42" t="str">
            <v>Mr Errol Just</v>
          </cell>
          <cell r="AF42" t="str">
            <v>21/6 Maunder St</v>
          </cell>
          <cell r="AG42" t="str">
            <v>SLACKS CREEK</v>
          </cell>
          <cell r="AH42" t="str">
            <v>4127</v>
          </cell>
        </row>
        <row r="43">
          <cell r="K43">
            <v>1</v>
          </cell>
          <cell r="L43">
            <v>1</v>
          </cell>
          <cell r="M43">
            <v>1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 t="str">
            <v>RTO - Current - Application Approved</v>
          </cell>
          <cell r="AA43" t="str">
            <v>31822</v>
          </cell>
          <cell r="AB43" t="str">
            <v>Bryan Peach Institute Pty Ltd</v>
          </cell>
          <cell r="AC43" t="str">
            <v>The Peach Institute</v>
          </cell>
          <cell r="AD43" t="str">
            <v>82 106 814 439</v>
          </cell>
          <cell r="AE43" t="str">
            <v>Mr Mandeep Natt (CEO)</v>
          </cell>
          <cell r="AF43" t="str">
            <v>Level 4 33 Scarborough St</v>
          </cell>
          <cell r="AG43" t="str">
            <v>Southport</v>
          </cell>
          <cell r="AH43" t="str">
            <v>4215</v>
          </cell>
          <cell r="AP43" t="str">
            <v>No</v>
          </cell>
        </row>
        <row r="44">
          <cell r="T44" t="str">
            <v>RTO - Terminated by RTO</v>
          </cell>
          <cell r="AA44" t="str">
            <v>121689</v>
          </cell>
          <cell r="AB44" t="str">
            <v>BSA Limited</v>
          </cell>
          <cell r="AC44" t="str">
            <v>Blue Sky Academy</v>
          </cell>
          <cell r="AD44" t="str">
            <v>50 088 412 748</v>
          </cell>
          <cell r="AE44" t="str">
            <v>Mr Ray Larkin</v>
          </cell>
          <cell r="AF44" t="str">
            <v>3 Thomas Holt Drive</v>
          </cell>
          <cell r="AG44" t="str">
            <v>Macquarie Park</v>
          </cell>
          <cell r="AH44" t="str">
            <v>2113</v>
          </cell>
        </row>
        <row r="45">
          <cell r="K45">
            <v>1</v>
          </cell>
          <cell r="L45">
            <v>1</v>
          </cell>
          <cell r="M45">
            <v>1</v>
          </cell>
          <cell r="N45">
            <v>1</v>
          </cell>
          <cell r="O45">
            <v>1</v>
          </cell>
          <cell r="P45">
            <v>1</v>
          </cell>
          <cell r="Q45">
            <v>1</v>
          </cell>
          <cell r="R45">
            <v>1</v>
          </cell>
          <cell r="S45">
            <v>1</v>
          </cell>
          <cell r="T45" t="str">
            <v>RTO - Current - Application Approved</v>
          </cell>
          <cell r="AA45" t="str">
            <v>21371</v>
          </cell>
          <cell r="AB45" t="str">
            <v>BSI Learning Institute Pty Limited</v>
          </cell>
          <cell r="AC45" t="str">
            <v>BSI Learning</v>
          </cell>
          <cell r="AD45" t="str">
            <v>20 106 311 086</v>
          </cell>
          <cell r="AE45" t="str">
            <v>Mrs Kala Philip (CEO); Mr Darren Head (CEO); Mr Scott Wesley (General Manager and Quality Assurance)</v>
          </cell>
          <cell r="AF45" t="str">
            <v>Level 7, 14 Martin Place</v>
          </cell>
          <cell r="AG45" t="str">
            <v>SYDNEY, NSW</v>
          </cell>
          <cell r="AH45" t="str">
            <v>2000</v>
          </cell>
          <cell r="AP45" t="str">
            <v>No</v>
          </cell>
        </row>
        <row r="46">
          <cell r="K46">
            <v>1</v>
          </cell>
          <cell r="L46">
            <v>1</v>
          </cell>
          <cell r="M46">
            <v>1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 t="str">
            <v>RTO - Current - Application Approved</v>
          </cell>
          <cell r="AA46" t="str">
            <v>40785</v>
          </cell>
          <cell r="AB46" t="str">
            <v>Building Industry Training Pty. Ltd.</v>
          </cell>
          <cell r="AC46" t="str">
            <v>Building Industry Training Pty Ltd</v>
          </cell>
          <cell r="AD46" t="str">
            <v>65 163 770 723</v>
          </cell>
          <cell r="AE46" t="str">
            <v>Alain Pillay (CEO); Julie Lu</v>
          </cell>
          <cell r="AF46" t="str">
            <v>U 43, 8 Distribution Court</v>
          </cell>
          <cell r="AG46" t="str">
            <v>Arundel</v>
          </cell>
          <cell r="AH46" t="str">
            <v>4214</v>
          </cell>
          <cell r="AP46" t="str">
            <v>No</v>
          </cell>
        </row>
        <row r="47">
          <cell r="T47" t="str">
            <v>RTO - Terminated - ASQA Registration/Scope Ended</v>
          </cell>
          <cell r="AA47" t="str">
            <v>41471</v>
          </cell>
          <cell r="AB47" t="str">
            <v>Bushfire Consulting Services Pty Ltd</v>
          </cell>
          <cell r="AC47" t="str">
            <v>N/A</v>
          </cell>
          <cell r="AD47" t="str">
            <v>93 161 040 295</v>
          </cell>
          <cell r="AE47" t="str">
            <v>Ms Catherine Gorrie</v>
          </cell>
          <cell r="AF47" t="str">
            <v>16 Westbank Avenue</v>
          </cell>
          <cell r="AG47" t="str">
            <v>Emu Plains</v>
          </cell>
          <cell r="AH47" t="str">
            <v>2750</v>
          </cell>
        </row>
        <row r="48">
          <cell r="K48">
            <v>1</v>
          </cell>
          <cell r="L48">
            <v>1</v>
          </cell>
          <cell r="M48">
            <v>1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 t="str">
            <v>RTO - Current - Application Approved</v>
          </cell>
          <cell r="AA48" t="str">
            <v>40817</v>
          </cell>
          <cell r="AB48" t="str">
            <v>C E Finucan and G J Pershouse</v>
          </cell>
          <cell r="AC48" t="str">
            <v>Pro- Lift Training and Assessment Services</v>
          </cell>
          <cell r="AD48" t="str">
            <v>67 344 961 781</v>
          </cell>
          <cell r="AE48" t="str">
            <v>Mr Craig Finucan (CEO); Ms Crystal Chopping (Operations Manager)</v>
          </cell>
          <cell r="AF48" t="str">
            <v>42A Commercial Ave</v>
          </cell>
          <cell r="AG48" t="str">
            <v>Paget</v>
          </cell>
          <cell r="AH48" t="str">
            <v>4740</v>
          </cell>
          <cell r="AP48" t="str">
            <v>No</v>
          </cell>
        </row>
        <row r="49">
          <cell r="K49">
            <v>1</v>
          </cell>
          <cell r="L49">
            <v>1</v>
          </cell>
          <cell r="M49">
            <v>1</v>
          </cell>
          <cell r="N49">
            <v>1</v>
          </cell>
          <cell r="O49">
            <v>1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 t="str">
            <v>RTO - Current - Application Approved</v>
          </cell>
          <cell r="AA49" t="str">
            <v>7061</v>
          </cell>
          <cell r="AB49" t="str">
            <v>Caboolture State High School</v>
          </cell>
          <cell r="AC49" t="str">
            <v>Caboolture State High School</v>
          </cell>
          <cell r="AD49" t="str">
            <v>22 792 530 028</v>
          </cell>
          <cell r="AE49" t="str">
            <v>Doug Watson (CEO); Denise Bell (Manager); Paige Pope (HOD Senior Schooling)</v>
          </cell>
          <cell r="AF49" t="str">
            <v>Lee St</v>
          </cell>
          <cell r="AG49" t="str">
            <v>Caboolture</v>
          </cell>
          <cell r="AH49" t="str">
            <v>4510</v>
          </cell>
          <cell r="AP49" t="str">
            <v>Yes</v>
          </cell>
        </row>
        <row r="50">
          <cell r="K50">
            <v>1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1</v>
          </cell>
          <cell r="Q50">
            <v>1</v>
          </cell>
          <cell r="R50">
            <v>1</v>
          </cell>
          <cell r="S50">
            <v>1</v>
          </cell>
          <cell r="T50" t="str">
            <v>RTO - Current - Application Approved</v>
          </cell>
          <cell r="AA50" t="str">
            <v>41225</v>
          </cell>
          <cell r="AB50" t="str">
            <v>Cairns Steel Construction Pty Ltd</v>
          </cell>
          <cell r="AC50" t="str">
            <v>Century Training</v>
          </cell>
          <cell r="AD50" t="str">
            <v>66 071 896 547</v>
          </cell>
          <cell r="AE50" t="str">
            <v>Ms Bianca Wilson (General Manager); Ms Larissa Cali (Training Coordinator)</v>
          </cell>
          <cell r="AF50" t="str">
            <v>90-92 Cook Street</v>
          </cell>
          <cell r="AG50" t="str">
            <v>Portsmith</v>
          </cell>
          <cell r="AH50" t="str">
            <v>4870</v>
          </cell>
          <cell r="AP50" t="str">
            <v>No</v>
          </cell>
        </row>
        <row r="51">
          <cell r="K51">
            <v>1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1</v>
          </cell>
          <cell r="Q51">
            <v>1</v>
          </cell>
          <cell r="R51">
            <v>1</v>
          </cell>
          <cell r="S51">
            <v>1</v>
          </cell>
          <cell r="T51" t="str">
            <v>RTO - Current - Application Approved</v>
          </cell>
          <cell r="AA51" t="str">
            <v>30058</v>
          </cell>
          <cell r="AB51" t="str">
            <v>Caloundra State High School</v>
          </cell>
          <cell r="AC51" t="str">
            <v>Caloundra State High School</v>
          </cell>
          <cell r="AD51" t="str">
            <v>52 664 744 190</v>
          </cell>
          <cell r="AE51" t="str">
            <v>Ms Michelle Fry (Head of Senior Schooling); Ms Natasha Wicks (Principal)</v>
          </cell>
          <cell r="AF51" t="str">
            <v>88 Queen St</v>
          </cell>
          <cell r="AG51" t="str">
            <v>Caloundra</v>
          </cell>
          <cell r="AH51" t="str">
            <v>4551</v>
          </cell>
          <cell r="AP51" t="str">
            <v>Yes</v>
          </cell>
        </row>
        <row r="52">
          <cell r="K52">
            <v>1</v>
          </cell>
          <cell r="L52">
            <v>1</v>
          </cell>
          <cell r="M52">
            <v>1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 t="str">
            <v>RTO - Terminated by RTO</v>
          </cell>
          <cell r="AA52" t="str">
            <v>88145</v>
          </cell>
          <cell r="AB52" t="str">
            <v>Capital Training Institute Pty Ltd</v>
          </cell>
          <cell r="AC52" t="str">
            <v>N/A</v>
          </cell>
          <cell r="AD52" t="str">
            <v>26 121 288 088</v>
          </cell>
          <cell r="AE52" t="str">
            <v>Belinda Cunningham</v>
          </cell>
          <cell r="AF52" t="str">
            <v>10 Corinna Street</v>
          </cell>
          <cell r="AG52" t="str">
            <v>Phillip</v>
          </cell>
          <cell r="AH52" t="str">
            <v>2606</v>
          </cell>
        </row>
        <row r="53">
          <cell r="T53" t="str">
            <v>RTO - Terminated - ASQA Registration/Scope Ended</v>
          </cell>
          <cell r="AA53" t="str">
            <v>31470</v>
          </cell>
          <cell r="AB53" t="str">
            <v>Careers Australia Institute of Training Pty Ltd</v>
          </cell>
          <cell r="AC53" t="str">
            <v>N/A</v>
          </cell>
          <cell r="AD53" t="str">
            <v>30 122 082 204</v>
          </cell>
          <cell r="AE53" t="str">
            <v>Kathryn Moody</v>
          </cell>
          <cell r="AF53" t="str">
            <v>123 Gotha Street</v>
          </cell>
          <cell r="AG53" t="str">
            <v>Fortitude Valley</v>
          </cell>
          <cell r="AH53" t="str">
            <v>4006</v>
          </cell>
        </row>
        <row r="54">
          <cell r="K54">
            <v>1</v>
          </cell>
          <cell r="L54">
            <v>1</v>
          </cell>
          <cell r="M54">
            <v>1</v>
          </cell>
          <cell r="N54">
            <v>1</v>
          </cell>
          <cell r="O54">
            <v>1</v>
          </cell>
          <cell r="P54">
            <v>1</v>
          </cell>
          <cell r="Q54">
            <v>1</v>
          </cell>
          <cell r="R54">
            <v>1</v>
          </cell>
          <cell r="S54">
            <v>1</v>
          </cell>
          <cell r="T54" t="str">
            <v>RTO - Current - Application Approved</v>
          </cell>
          <cell r="AA54" t="str">
            <v>140100</v>
          </cell>
          <cell r="AB54" t="str">
            <v>Carey Training Pty Ltd</v>
          </cell>
          <cell r="AC54" t="str">
            <v>AWC Training</v>
          </cell>
          <cell r="AD54" t="str">
            <v>24 099 914 664</v>
          </cell>
          <cell r="AE54" t="str">
            <v>Mr. Jamie Kritharas (State Manager)</v>
          </cell>
          <cell r="AF54" t="str">
            <v>Unit 7A/ 69 Sir Donald Bradman Dr</v>
          </cell>
          <cell r="AG54" t="str">
            <v>Hilton</v>
          </cell>
          <cell r="AH54" t="str">
            <v>5033</v>
          </cell>
          <cell r="AP54" t="str">
            <v>No</v>
          </cell>
        </row>
        <row r="55">
          <cell r="K55">
            <v>1</v>
          </cell>
          <cell r="L55">
            <v>1</v>
          </cell>
          <cell r="M55">
            <v>1</v>
          </cell>
          <cell r="N55">
            <v>1</v>
          </cell>
          <cell r="O55">
            <v>1</v>
          </cell>
          <cell r="P55">
            <v>1</v>
          </cell>
          <cell r="Q55">
            <v>1</v>
          </cell>
          <cell r="R55">
            <v>1</v>
          </cell>
          <cell r="S55">
            <v>1</v>
          </cell>
          <cell r="T55" t="str">
            <v>RTO - Current - Application Approved</v>
          </cell>
          <cell r="AA55" t="str">
            <v>6491</v>
          </cell>
          <cell r="AB55" t="str">
            <v>CC Joy Enterprises Pty Ltd</v>
          </cell>
          <cell r="AC55" t="str">
            <v>Col Joy Training Services</v>
          </cell>
          <cell r="AD55" t="str">
            <v>34 093 362 522</v>
          </cell>
          <cell r="AE55" t="str">
            <v>Mr Colin Joy (CEO); Mr Josh Van Loenen (Compliance and Development Manager)</v>
          </cell>
          <cell r="AF55" t="str">
            <v>12 Fursden St</v>
          </cell>
          <cell r="AG55" t="str">
            <v>Glenella</v>
          </cell>
          <cell r="AH55" t="str">
            <v>4740</v>
          </cell>
          <cell r="AP55" t="str">
            <v>No</v>
          </cell>
        </row>
        <row r="56">
          <cell r="T56" t="str">
            <v>RTO - Terminated - ASQA Registration/Scope Ended</v>
          </cell>
          <cell r="AA56" t="str">
            <v>91495</v>
          </cell>
          <cell r="AB56" t="str">
            <v>CE Training Consultants Pty Ltd</v>
          </cell>
          <cell r="AC56" t="str">
            <v>N/A</v>
          </cell>
          <cell r="AD56" t="str">
            <v>76 131 393 425</v>
          </cell>
          <cell r="AE56" t="str">
            <v>Mr Christopher Ellery</v>
          </cell>
          <cell r="AF56" t="str">
            <v>24 Industrial Avenue</v>
          </cell>
          <cell r="AG56" t="str">
            <v>Mudgee</v>
          </cell>
          <cell r="AH56" t="str">
            <v>2850</v>
          </cell>
        </row>
        <row r="57">
          <cell r="K57">
            <v>1</v>
          </cell>
          <cell r="L57">
            <v>1</v>
          </cell>
          <cell r="M57">
            <v>1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 t="str">
            <v>RTO - Current - Application Approved</v>
          </cell>
          <cell r="AA57" t="str">
            <v>40939</v>
          </cell>
          <cell r="AB57" t="str">
            <v>Central Queensland University</v>
          </cell>
          <cell r="AC57" t="str">
            <v>CQUniversity Australia</v>
          </cell>
          <cell r="AD57" t="str">
            <v>39 181 103 288</v>
          </cell>
          <cell r="AE57" t="str">
            <v>Prof. Nicholas Klomp (President); Mr Rob Buttery (Dean); Michael Wilson (Deputy Dean); Stewart Larsson (Head Of Course Construction)</v>
          </cell>
          <cell r="AF57" t="str">
            <v>544 Yaamba Rd</v>
          </cell>
          <cell r="AG57" t="str">
            <v>North Rockhampton</v>
          </cell>
          <cell r="AH57" t="str">
            <v>4701</v>
          </cell>
          <cell r="AP57" t="str">
            <v>No</v>
          </cell>
        </row>
        <row r="58">
          <cell r="K58">
            <v>1</v>
          </cell>
          <cell r="L58">
            <v>1</v>
          </cell>
          <cell r="M58">
            <v>1</v>
          </cell>
          <cell r="N58">
            <v>1</v>
          </cell>
          <cell r="O58">
            <v>1</v>
          </cell>
          <cell r="P58">
            <v>1</v>
          </cell>
          <cell r="Q58">
            <v>1</v>
          </cell>
          <cell r="R58">
            <v>1</v>
          </cell>
          <cell r="S58">
            <v>1</v>
          </cell>
          <cell r="T58" t="str">
            <v>RTO - Current - Application Approved</v>
          </cell>
          <cell r="AA58" t="str">
            <v>32577</v>
          </cell>
          <cell r="AB58" t="str">
            <v>Central Safety Training and Assessing Services Pty Ltd</v>
          </cell>
          <cell r="AC58" t="str">
            <v>All States Training</v>
          </cell>
          <cell r="AD58" t="str">
            <v>44 077 567 205</v>
          </cell>
          <cell r="AE58" t="str">
            <v>Mrs De'Anne Daphne Stegert (CEO); Mr Harley Anderson (Manager)</v>
          </cell>
          <cell r="AF58" t="str">
            <v>108 Dunmall Dr</v>
          </cell>
          <cell r="AG58" t="str">
            <v>Oakhurst</v>
          </cell>
          <cell r="AH58" t="str">
            <v>4650</v>
          </cell>
          <cell r="AP58" t="str">
            <v>No</v>
          </cell>
        </row>
        <row r="59">
          <cell r="K59">
            <v>1</v>
          </cell>
          <cell r="L59">
            <v>1</v>
          </cell>
          <cell r="M59">
            <v>1</v>
          </cell>
          <cell r="N59">
            <v>1</v>
          </cell>
          <cell r="O59">
            <v>1</v>
          </cell>
          <cell r="P59">
            <v>1</v>
          </cell>
          <cell r="Q59">
            <v>1</v>
          </cell>
          <cell r="R59">
            <v>1</v>
          </cell>
          <cell r="S59">
            <v>1</v>
          </cell>
          <cell r="T59" t="str">
            <v>RTO - Current - Application Approved</v>
          </cell>
          <cell r="AA59" t="str">
            <v>32295</v>
          </cell>
          <cell r="AB59" t="str">
            <v>Central Western Queensland Remote Area Planning and Development Board</v>
          </cell>
          <cell r="AC59" t="str">
            <v>RAPAD Skilling</v>
          </cell>
          <cell r="AD59" t="str">
            <v>44 077 567 205</v>
          </cell>
          <cell r="AE59" t="str">
            <v>Mr David Arnold (CEO); Mr Stephen Rossberg (Training Manager); Ms Jane Dakin (Administration)</v>
          </cell>
          <cell r="AF59" t="str">
            <v>117 Eagle St</v>
          </cell>
          <cell r="AG59" t="str">
            <v>Longreach</v>
          </cell>
          <cell r="AH59" t="str">
            <v>4730</v>
          </cell>
          <cell r="AP59" t="str">
            <v>No</v>
          </cell>
        </row>
        <row r="60">
          <cell r="K60">
            <v>1</v>
          </cell>
          <cell r="L60">
            <v>1</v>
          </cell>
          <cell r="M60">
            <v>1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 t="str">
            <v>RTO - Current - Application Approved</v>
          </cell>
          <cell r="AA60" t="str">
            <v>51333</v>
          </cell>
          <cell r="AB60" t="str">
            <v>Centre for Excellence in Rail Training Pty Ltd</v>
          </cell>
          <cell r="AC60" t="str">
            <v>Centre For Excellence in Rail Training</v>
          </cell>
          <cell r="AD60" t="str">
            <v>57 104 577 933</v>
          </cell>
          <cell r="AE60" t="str">
            <v>Mr Anthony Fritsche (CEO); Ms Jennifer McFarlane (Manager); Ms Jeanette Stewart (GCIT Contact)</v>
          </cell>
          <cell r="AF60" t="str">
            <v>Suite 3, Level 22, 535 Bourke St</v>
          </cell>
          <cell r="AG60" t="str">
            <v>Melbourne</v>
          </cell>
          <cell r="AH60" t="str">
            <v>3000</v>
          </cell>
          <cell r="AP60" t="str">
            <v>No</v>
          </cell>
        </row>
        <row r="61">
          <cell r="K61">
            <v>1</v>
          </cell>
          <cell r="L61">
            <v>1</v>
          </cell>
          <cell r="M61">
            <v>1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 t="str">
            <v>RTO - Current - Application Approved</v>
          </cell>
          <cell r="AA61" t="str">
            <v>21055</v>
          </cell>
          <cell r="AB61" t="str">
            <v>Chalcedony Investments Pty Ltd</v>
          </cell>
          <cell r="AC61" t="str">
            <v>Interlink Training</v>
          </cell>
          <cell r="AD61" t="str">
            <v>73 010 305 674</v>
          </cell>
          <cell r="AE61" t="str">
            <v>Mr Stephen Hayes (CEO); Ms Sarita Edwards (Operations Manager); Mr Tom Clark</v>
          </cell>
          <cell r="AF61" t="str">
            <v>51 Chetwynd St</v>
          </cell>
          <cell r="AG61" t="str">
            <v>Loganholme</v>
          </cell>
          <cell r="AH61" t="str">
            <v>4129</v>
          </cell>
          <cell r="AP61" t="str">
            <v>No</v>
          </cell>
        </row>
        <row r="62">
          <cell r="K62">
            <v>1</v>
          </cell>
          <cell r="L62">
            <v>1</v>
          </cell>
          <cell r="M62">
            <v>1</v>
          </cell>
          <cell r="N62">
            <v>1</v>
          </cell>
          <cell r="O62">
            <v>1</v>
          </cell>
          <cell r="P62">
            <v>1</v>
          </cell>
          <cell r="Q62">
            <v>1</v>
          </cell>
          <cell r="R62">
            <v>1</v>
          </cell>
          <cell r="S62">
            <v>1</v>
          </cell>
          <cell r="T62" t="str">
            <v>RTO - Current - Application Approved</v>
          </cell>
          <cell r="AA62" t="str">
            <v>5388</v>
          </cell>
          <cell r="AB62" t="str">
            <v>Challenge Employment &amp; Training Ltd</v>
          </cell>
          <cell r="AC62" t="str">
            <v>N/A</v>
          </cell>
          <cell r="AD62" t="str">
            <v>94 605 064 944</v>
          </cell>
          <cell r="AE62" t="str">
            <v>Mr Richard Lindner (CEO); Katalina Tupuola (Compliance Manager)</v>
          </cell>
          <cell r="AF62" t="str">
            <v>21 Dunlop St</v>
          </cell>
          <cell r="AG62" t="str">
            <v>Collingwood Park</v>
          </cell>
          <cell r="AH62" t="str">
            <v>4301</v>
          </cell>
          <cell r="AP62" t="str">
            <v>No</v>
          </cell>
        </row>
        <row r="63">
          <cell r="K63">
            <v>1</v>
          </cell>
          <cell r="L63">
            <v>1</v>
          </cell>
          <cell r="M63">
            <v>1</v>
          </cell>
          <cell r="N63">
            <v>1</v>
          </cell>
          <cell r="O63">
            <v>1</v>
          </cell>
          <cell r="P63">
            <v>1</v>
          </cell>
          <cell r="Q63">
            <v>1</v>
          </cell>
          <cell r="R63">
            <v>1</v>
          </cell>
          <cell r="S63">
            <v>1</v>
          </cell>
          <cell r="T63" t="str">
            <v>RTO - Current - Application Approved</v>
          </cell>
          <cell r="AA63" t="str">
            <v>31345</v>
          </cell>
          <cell r="AB63" t="str">
            <v>Challenge National Pty Ltd</v>
          </cell>
          <cell r="AC63" t="str">
            <v>Etrainu</v>
          </cell>
          <cell r="AD63" t="str">
            <v>12 060 782 667</v>
          </cell>
          <cell r="AE63" t="str">
            <v>Ms Natalie Scopelliti (CEO); Ms Cassandra Sawtell (RTO Administrator)</v>
          </cell>
          <cell r="AF63" t="str">
            <v>Level 10/60 Edward Street</v>
          </cell>
          <cell r="AG63" t="str">
            <v>Brisbane</v>
          </cell>
          <cell r="AH63" t="str">
            <v>4000</v>
          </cell>
          <cell r="AP63" t="str">
            <v>No</v>
          </cell>
        </row>
        <row r="64">
          <cell r="K64">
            <v>1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 t="str">
            <v>RTO - Terminated by RTO</v>
          </cell>
          <cell r="AA64" t="str">
            <v>31056</v>
          </cell>
          <cell r="AB64" t="str">
            <v>Christian Community Ministries Ltd</v>
          </cell>
          <cell r="AC64" t="str">
            <v>N/A</v>
          </cell>
          <cell r="AD64" t="str">
            <v>96 105 961 135</v>
          </cell>
          <cell r="AE64" t="str">
            <v>Mr John Lyndon (CEO); Ms Fay Burgess (RTO Manager)</v>
          </cell>
          <cell r="AF64" t="str">
            <v>68-70 Laughlin St</v>
          </cell>
          <cell r="AG64" t="str">
            <v>Kingston</v>
          </cell>
          <cell r="AH64" t="str">
            <v>4114</v>
          </cell>
          <cell r="AP64" t="str">
            <v>No</v>
          </cell>
        </row>
        <row r="65">
          <cell r="K65">
            <v>1</v>
          </cell>
          <cell r="L65">
            <v>1</v>
          </cell>
          <cell r="M65">
            <v>1</v>
          </cell>
          <cell r="N65">
            <v>1</v>
          </cell>
          <cell r="O65">
            <v>1</v>
          </cell>
          <cell r="P65">
            <v>1</v>
          </cell>
          <cell r="Q65">
            <v>1</v>
          </cell>
          <cell r="R65">
            <v>1</v>
          </cell>
          <cell r="S65">
            <v>1</v>
          </cell>
          <cell r="T65" t="str">
            <v>RTO - Terminated by RTO</v>
          </cell>
          <cell r="AA65" t="str">
            <v>30572</v>
          </cell>
          <cell r="AB65" t="str">
            <v>Citipointe Christian College Outreach College Brisbane</v>
          </cell>
          <cell r="AC65" t="str">
            <v>Citipointe Christian College</v>
          </cell>
          <cell r="AD65" t="str">
            <v>15 072 238 554</v>
          </cell>
          <cell r="AE65" t="str">
            <v>Mrs Ruth Gravestein (CEO); Mrs Judith Calero</v>
          </cell>
          <cell r="AF65" t="str">
            <v>322 Wecker Rd</v>
          </cell>
          <cell r="AG65" t="str">
            <v>Carindle</v>
          </cell>
          <cell r="AH65" t="str">
            <v>4152</v>
          </cell>
          <cell r="AP65" t="str">
            <v>Yes</v>
          </cell>
        </row>
        <row r="66">
          <cell r="K66">
            <v>43977</v>
          </cell>
          <cell r="L66">
            <v>44083</v>
          </cell>
          <cell r="M66">
            <v>1</v>
          </cell>
          <cell r="N66">
            <v>1</v>
          </cell>
          <cell r="O66">
            <v>44091</v>
          </cell>
          <cell r="P66">
            <v>1</v>
          </cell>
          <cell r="Q66">
            <v>1</v>
          </cell>
          <cell r="R66">
            <v>1</v>
          </cell>
          <cell r="S66">
            <v>1</v>
          </cell>
          <cell r="T66" t="str">
            <v>RTO - Current - Application Approved</v>
          </cell>
          <cell r="AA66" t="str">
            <v>91138</v>
          </cell>
          <cell r="AB66" t="str">
            <v>City-Wide Building &amp; Training Services Pty Ltd</v>
          </cell>
          <cell r="AC66" t="str">
            <v>CWBTS</v>
          </cell>
          <cell r="AD66" t="str">
            <v>42 100 650 084</v>
          </cell>
          <cell r="AE66" t="str">
            <v>Ali Musai (CEO)</v>
          </cell>
          <cell r="AF66" t="str">
            <v>Unit 16/25 Ourimbah Rd</v>
          </cell>
          <cell r="AG66" t="str">
            <v>Tweed Heads</v>
          </cell>
          <cell r="AH66" t="str">
            <v>2485</v>
          </cell>
          <cell r="AP66" t="str">
            <v>No</v>
          </cell>
        </row>
        <row r="67">
          <cell r="K67">
            <v>1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1</v>
          </cell>
          <cell r="T67" t="str">
            <v>RTO - Current - Application Approved</v>
          </cell>
          <cell r="AA67" t="str">
            <v>5708</v>
          </cell>
          <cell r="AB67" t="str">
            <v>Civil Contractors Federation</v>
          </cell>
          <cell r="AC67" t="str">
            <v>N/A</v>
          </cell>
          <cell r="AD67" t="str">
            <v>24 778 482 952</v>
          </cell>
          <cell r="AE67" t="str">
            <v>Mr. Damian Long (CEO); Mr. Adrian Kent (Manager)</v>
          </cell>
          <cell r="AF67" t="str">
            <v>11 Hi-Tech Court</v>
          </cell>
          <cell r="AG67" t="str">
            <v>Eight Mile Plains</v>
          </cell>
          <cell r="AH67" t="str">
            <v>4113</v>
          </cell>
          <cell r="AP67" t="str">
            <v>No</v>
          </cell>
        </row>
        <row r="68">
          <cell r="K68">
            <v>1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 t="str">
            <v>RTO - Terminated by RTO</v>
          </cell>
          <cell r="AA68" t="str">
            <v>31184</v>
          </cell>
          <cell r="AB68" t="str">
            <v>CL Quinn &amp; JB Quinn</v>
          </cell>
          <cell r="AC68" t="str">
            <v>Accreditation and Training Services</v>
          </cell>
          <cell r="AD68" t="str">
            <v>35 656 146 363</v>
          </cell>
          <cell r="AE68" t="str">
            <v>Mrs Jeanette B Quinn</v>
          </cell>
          <cell r="AF68" t="str">
            <v>Lot 9, Bruce Highway</v>
          </cell>
          <cell r="AG68" t="str">
            <v>Babinda</v>
          </cell>
          <cell r="AH68" t="str">
            <v>4861</v>
          </cell>
        </row>
        <row r="69">
          <cell r="T69" t="str">
            <v>RTO - Terminated - ASQA Registration/Scope Ended</v>
          </cell>
          <cell r="AA69" t="str">
            <v>90900</v>
          </cell>
          <cell r="AB69" t="str">
            <v>CMS Training Australia Pty Ltd</v>
          </cell>
          <cell r="AC69" t="str">
            <v>N/A</v>
          </cell>
          <cell r="AD69" t="str">
            <v>42 078 654 216</v>
          </cell>
          <cell r="AE69" t="str">
            <v>Mr Sam Rosenberg</v>
          </cell>
          <cell r="AF69" t="str">
            <v>235 Hawthorn Rd</v>
          </cell>
          <cell r="AG69" t="str">
            <v>CAULFIELD NORTH</v>
          </cell>
          <cell r="AH69" t="str">
            <v>3161</v>
          </cell>
        </row>
        <row r="70">
          <cell r="K70">
            <v>1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1</v>
          </cell>
          <cell r="S70">
            <v>1</v>
          </cell>
          <cell r="T70" t="str">
            <v>RTO - Current - Application Approved</v>
          </cell>
          <cell r="AA70" t="str">
            <v>32507</v>
          </cell>
          <cell r="AB70" t="str">
            <v>Coal Train Pty Ltd</v>
          </cell>
          <cell r="AC70" t="str">
            <v>Coal Train</v>
          </cell>
          <cell r="AD70" t="str">
            <v>12 150 943 767</v>
          </cell>
          <cell r="AE70" t="str">
            <v>Mrs Karla Way-McPhail (CEO); Ms Tiffany Groves (Manager)</v>
          </cell>
          <cell r="AF70" t="str">
            <v>6 Millroy Dr</v>
          </cell>
          <cell r="AG70" t="str">
            <v>Barmaryee</v>
          </cell>
          <cell r="AH70" t="str">
            <v>4703</v>
          </cell>
          <cell r="AP70" t="str">
            <v>No</v>
          </cell>
        </row>
        <row r="71">
          <cell r="K71">
            <v>1</v>
          </cell>
          <cell r="L71">
            <v>1</v>
          </cell>
          <cell r="M71">
            <v>1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 t="str">
            <v>RTO - Terminated by RTO</v>
          </cell>
          <cell r="AA71" t="str">
            <v>1402</v>
          </cell>
          <cell r="AB71" t="str">
            <v>Coates Hire Operations Pty Ltd</v>
          </cell>
          <cell r="AC71" t="str">
            <v>N/A</v>
          </cell>
          <cell r="AD71" t="str">
            <v>99 074 126 971</v>
          </cell>
          <cell r="AE71" t="str">
            <v>Mr Paul McDonough</v>
          </cell>
          <cell r="AF71" t="str">
            <v>Level 6, 241 ORiordan St</v>
          </cell>
          <cell r="AG71" t="str">
            <v>Mascot</v>
          </cell>
          <cell r="AH71" t="str">
            <v>2020</v>
          </cell>
        </row>
        <row r="72">
          <cell r="T72" t="str">
            <v>RTO - Application Withdrawn</v>
          </cell>
          <cell r="AA72" t="str">
            <v>7053</v>
          </cell>
          <cell r="AB72" t="str">
            <v>Combined Training&amp; Consulting Pty Ltd</v>
          </cell>
          <cell r="AC72" t="str">
            <v>N/A</v>
          </cell>
          <cell r="AD72" t="str">
            <v>70 060 055 067</v>
          </cell>
          <cell r="AE72" t="str">
            <v>Matthew Young</v>
          </cell>
          <cell r="AF72" t="str">
            <v>Unit 1/4 Bounty Cl</v>
          </cell>
          <cell r="AG72" t="str">
            <v>Tuggerah</v>
          </cell>
          <cell r="AH72" t="str">
            <v>2259</v>
          </cell>
        </row>
        <row r="73">
          <cell r="T73" t="str">
            <v>RTO - Terminated - ASQA Registration/Scope Ended</v>
          </cell>
          <cell r="AA73" t="str">
            <v>21009</v>
          </cell>
          <cell r="AB73" t="str">
            <v>Complex Institute of Education Pty Ltd</v>
          </cell>
          <cell r="AC73" t="str">
            <v>N/A</v>
          </cell>
          <cell r="AD73" t="str">
            <v>65 093 254 105</v>
          </cell>
          <cell r="AE73" t="str">
            <v>Steven Morrissey</v>
          </cell>
          <cell r="AF73" t="str">
            <v>400 Queen Street</v>
          </cell>
          <cell r="AG73" t="str">
            <v>Melbourne</v>
          </cell>
          <cell r="AH73" t="str">
            <v>3000</v>
          </cell>
        </row>
        <row r="74">
          <cell r="K74">
            <v>1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1</v>
          </cell>
          <cell r="Q74">
            <v>1</v>
          </cell>
          <cell r="R74">
            <v>1</v>
          </cell>
          <cell r="S74">
            <v>1</v>
          </cell>
          <cell r="T74" t="str">
            <v>RTO - Current - Application Approved</v>
          </cell>
          <cell r="AA74" t="str">
            <v>41288</v>
          </cell>
          <cell r="AB74" t="str">
            <v>Construction Industry Training Pty Ltd</v>
          </cell>
          <cell r="AC74" t="str">
            <v>N/A</v>
          </cell>
          <cell r="AD74" t="str">
            <v>71 604 908 527</v>
          </cell>
          <cell r="AE74" t="str">
            <v>Mr. Simon Gardner (CEO); Kim Walsh</v>
          </cell>
          <cell r="AF74" t="str">
            <v>45 Colebard St W</v>
          </cell>
          <cell r="AG74" t="str">
            <v>Acacia Ridge</v>
          </cell>
          <cell r="AH74" t="str">
            <v>4110</v>
          </cell>
          <cell r="AP74" t="str">
            <v>No</v>
          </cell>
        </row>
        <row r="75">
          <cell r="K75">
            <v>1</v>
          </cell>
          <cell r="L75">
            <v>1</v>
          </cell>
          <cell r="M75">
            <v>1</v>
          </cell>
          <cell r="N75">
            <v>1</v>
          </cell>
          <cell r="O75">
            <v>1</v>
          </cell>
          <cell r="P75">
            <v>1</v>
          </cell>
          <cell r="Q75">
            <v>1</v>
          </cell>
          <cell r="R75">
            <v>1</v>
          </cell>
          <cell r="S75">
            <v>1</v>
          </cell>
          <cell r="T75" t="str">
            <v>RTO - Terminated - ASQA Registration/Scope Ended</v>
          </cell>
          <cell r="AA75" t="str">
            <v>32443</v>
          </cell>
          <cell r="AB75" t="str">
            <v>Construction Machinery Training School Pty Ltd</v>
          </cell>
          <cell r="AC75" t="str">
            <v>N/A</v>
          </cell>
          <cell r="AD75" t="str">
            <v>92 146 149 715</v>
          </cell>
          <cell r="AE75" t="str">
            <v>Mr Ronald Mark Reddicliffe</v>
          </cell>
          <cell r="AF75" t="str">
            <v>Kennedy Highway Titchum Creek</v>
          </cell>
          <cell r="AG75" t="str">
            <v>Mareeba</v>
          </cell>
          <cell r="AH75" t="str">
            <v>4880</v>
          </cell>
        </row>
        <row r="76">
          <cell r="K76">
            <v>1</v>
          </cell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 t="str">
            <v>RTO - Current - Application Approved</v>
          </cell>
          <cell r="AA76" t="str">
            <v>32512</v>
          </cell>
          <cell r="AB76" t="str">
            <v>Construction Training College Pty Ltd</v>
          </cell>
          <cell r="AC76" t="str">
            <v>N/A</v>
          </cell>
          <cell r="AD76" t="str">
            <v>50 144 586 621</v>
          </cell>
          <cell r="AE76" t="str">
            <v>Mr Vincent Hurley (CEO); Mr Michael Hurley (Director)</v>
          </cell>
          <cell r="AF76" t="str">
            <v>Unit 1 50 Union Circuit</v>
          </cell>
          <cell r="AG76" t="str">
            <v>Yatala</v>
          </cell>
          <cell r="AH76" t="str">
            <v>4207</v>
          </cell>
          <cell r="AP76" t="str">
            <v>No</v>
          </cell>
        </row>
        <row r="77">
          <cell r="T77" t="str">
            <v>RTO - Terminated - ASQA Registration/Scope Ended</v>
          </cell>
          <cell r="AA77" t="str">
            <v>31596</v>
          </cell>
          <cell r="AB77" t="str">
            <v>Crane Train Pty Ltd atf The Ken Smallacombe Family Trust</v>
          </cell>
          <cell r="AC77" t="str">
            <v>Crane Train Pty Ltd</v>
          </cell>
          <cell r="AD77" t="str">
            <v>25 667 803 007</v>
          </cell>
          <cell r="AE77" t="str">
            <v>Mr Kenneth Smallacombe</v>
          </cell>
          <cell r="AF77" t="str">
            <v>2/9-13 Riverland Drive</v>
          </cell>
          <cell r="AG77" t="str">
            <v>Loganholme</v>
          </cell>
          <cell r="AH77" t="str">
            <v>4129</v>
          </cell>
        </row>
        <row r="78">
          <cell r="K78">
            <v>1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P78">
            <v>1</v>
          </cell>
          <cell r="Q78">
            <v>1</v>
          </cell>
          <cell r="R78">
            <v>1</v>
          </cell>
          <cell r="S78">
            <v>1</v>
          </cell>
          <cell r="T78" t="str">
            <v>RTO - Current - Application Approved</v>
          </cell>
          <cell r="AA78" t="str">
            <v>0699</v>
          </cell>
          <cell r="AB78" t="str">
            <v>CSTC Pty Ltd</v>
          </cell>
          <cell r="AC78" t="str">
            <v>Construction Skills Training Centre</v>
          </cell>
          <cell r="AD78" t="str">
            <v>85 078 440 105</v>
          </cell>
          <cell r="AE78" t="str">
            <v>Mr Gregory Simcoe (CEO); Ms Michelle Curro (Quality Manager)</v>
          </cell>
          <cell r="AF78" t="str">
            <v>878 Beaudesert Rd</v>
          </cell>
          <cell r="AG78" t="str">
            <v>Coopers Plains</v>
          </cell>
          <cell r="AH78" t="str">
            <v>4108</v>
          </cell>
          <cell r="AP78" t="str">
            <v>No</v>
          </cell>
        </row>
        <row r="79">
          <cell r="T79" t="str">
            <v>RTO - Terminated - ASQA Registration/Scope Ended</v>
          </cell>
          <cell r="AA79" t="str">
            <v>90981</v>
          </cell>
          <cell r="AB79" t="str">
            <v>CTM Training Solutions Pty Ltd</v>
          </cell>
          <cell r="AC79" t="str">
            <v>N/A</v>
          </cell>
          <cell r="AD79" t="str">
            <v>83 108 102 263</v>
          </cell>
          <cell r="AE79" t="str">
            <v>Ms Jessica Murphy</v>
          </cell>
          <cell r="AF79" t="str">
            <v xml:space="preserve"> L2, 225 Montague Road</v>
          </cell>
          <cell r="AG79" t="str">
            <v>West End</v>
          </cell>
          <cell r="AH79" t="str">
            <v>4101</v>
          </cell>
        </row>
        <row r="80">
          <cell r="K80">
            <v>1</v>
          </cell>
          <cell r="L80">
            <v>1</v>
          </cell>
          <cell r="M80">
            <v>1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 t="str">
            <v>RTO - Current - Application Approved</v>
          </cell>
          <cell r="AA80" t="str">
            <v>5768</v>
          </cell>
          <cell r="AB80" t="str">
            <v>Current Training (Qld) Pty Ltd</v>
          </cell>
          <cell r="AC80" t="str">
            <v>Current Training QLD Pty Ltd</v>
          </cell>
          <cell r="AD80" t="str">
            <v>40 081 101 546</v>
          </cell>
          <cell r="AE80" t="str">
            <v>Mr Mark Muscat (CEO); Ms Megan Ham (RTO Manager)</v>
          </cell>
          <cell r="AF80" t="str">
            <v>Unit 8 30-36 Dickson Rd</v>
          </cell>
          <cell r="AG80" t="str">
            <v>Morayfield</v>
          </cell>
          <cell r="AH80" t="str">
            <v>4506</v>
          </cell>
          <cell r="AP80" t="str">
            <v>No</v>
          </cell>
        </row>
        <row r="81">
          <cell r="T81" t="str">
            <v>RTO - Terminated - ASQA Registration/Scope Ended</v>
          </cell>
          <cell r="AA81" t="str">
            <v>31740</v>
          </cell>
          <cell r="AB81" t="str">
            <v>David J Corry</v>
          </cell>
          <cell r="AC81" t="str">
            <v>Coorindale Training</v>
          </cell>
          <cell r="AD81" t="str">
            <v>38 157 503 027</v>
          </cell>
          <cell r="AE81" t="str">
            <v>Mr David Corry</v>
          </cell>
          <cell r="AF81" t="str">
            <v>1, 26 Township Drive</v>
          </cell>
          <cell r="AG81" t="str">
            <v>West Burleigh</v>
          </cell>
          <cell r="AH81" t="str">
            <v>4220</v>
          </cell>
        </row>
        <row r="82">
          <cell r="T82" t="str">
            <v>RTO - Terminated - ASQA Registration/Scope Ended</v>
          </cell>
          <cell r="AA82" t="str">
            <v>40599</v>
          </cell>
          <cell r="AB82" t="str">
            <v>Deltawest Holdings Pty Ltd</v>
          </cell>
          <cell r="AC82" t="str">
            <v>Delta Training</v>
          </cell>
          <cell r="AD82" t="str">
            <v>70 134 038 421</v>
          </cell>
          <cell r="AE82" t="str">
            <v>Stuart Pridgeon</v>
          </cell>
          <cell r="AF82" t="str">
            <v>Unit 2 36 Leonard Crescent</v>
          </cell>
          <cell r="AG82" t="str">
            <v>Brendale</v>
          </cell>
          <cell r="AH82" t="str">
            <v>4500</v>
          </cell>
        </row>
        <row r="83">
          <cell r="T83" t="str">
            <v>RTO - Terminated - ASQA Registration/Scope Ended</v>
          </cell>
          <cell r="AA83" t="str">
            <v>1828</v>
          </cell>
          <cell r="AB83" t="str">
            <v>Department of Natural Resources and Mines</v>
          </cell>
          <cell r="AC83" t="str">
            <v>Simtars</v>
          </cell>
          <cell r="AD83" t="str">
            <v>59 020 847 551</v>
          </cell>
          <cell r="AE83" t="str">
            <v>Mr Mark Gregory Williams</v>
          </cell>
          <cell r="AF83" t="str">
            <v>2 Robert Smith Street</v>
          </cell>
          <cell r="AG83" t="str">
            <v>Redbank</v>
          </cell>
          <cell r="AH83" t="str">
            <v>4301</v>
          </cell>
        </row>
        <row r="84">
          <cell r="T84" t="str">
            <v>RTO - Terminated - ASQA Registration/Scope Ended</v>
          </cell>
          <cell r="AA84" t="str">
            <v>32284</v>
          </cell>
          <cell r="AB84" t="str">
            <v>Designer Training Pty Ltd</v>
          </cell>
          <cell r="AC84" t="str">
            <v>N/A</v>
          </cell>
          <cell r="AD84" t="str">
            <v>33 143 140 603</v>
          </cell>
          <cell r="AE84" t="str">
            <v>(07) 3505 7100</v>
          </cell>
          <cell r="AF84" t="str">
            <v>3/50 Ainsdale St</v>
          </cell>
          <cell r="AG84" t="str">
            <v>Chermside West</v>
          </cell>
          <cell r="AH84" t="str">
            <v>4032</v>
          </cell>
        </row>
        <row r="85"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 t="str">
            <v>RTO - Current - Application Approved</v>
          </cell>
          <cell r="AA85" t="str">
            <v>31664</v>
          </cell>
          <cell r="AB85" t="str">
            <v>Dickens Assessment and Training Services Pty Ltd</v>
          </cell>
          <cell r="AC85" t="str">
            <v>Dickens Assessment and Training Services</v>
          </cell>
          <cell r="AD85" t="str">
            <v>29 127 641 758</v>
          </cell>
          <cell r="AE85" t="str">
            <v>Mr Malcolm Dickens (CEO); Ms Janelle Hall (Compliance Officer)</v>
          </cell>
          <cell r="AF85" t="str">
            <v>1/7 Elswick Place</v>
          </cell>
          <cell r="AG85" t="str">
            <v>Coffs Harbour</v>
          </cell>
          <cell r="AH85" t="str">
            <v>2450</v>
          </cell>
          <cell r="AP85" t="str">
            <v>No</v>
          </cell>
        </row>
        <row r="86">
          <cell r="K86">
            <v>1</v>
          </cell>
          <cell r="L86">
            <v>1</v>
          </cell>
          <cell r="M86">
            <v>1</v>
          </cell>
          <cell r="N86">
            <v>1</v>
          </cell>
          <cell r="O86">
            <v>1</v>
          </cell>
          <cell r="P86">
            <v>1</v>
          </cell>
          <cell r="Q86">
            <v>1</v>
          </cell>
          <cell r="R86">
            <v>1</v>
          </cell>
          <cell r="S86">
            <v>1</v>
          </cell>
          <cell r="T86" t="str">
            <v>RTO - Current - Application Approved</v>
          </cell>
          <cell r="AA86" t="str">
            <v>32328</v>
          </cell>
          <cell r="AB86" t="str">
            <v>Down to Earth Results Pty Ltd</v>
          </cell>
          <cell r="AC86" t="str">
            <v>Down To Earth Results</v>
          </cell>
          <cell r="AD86" t="str">
            <v>61 119 012 065</v>
          </cell>
          <cell r="AE86" t="str">
            <v>Ms Kerryanne Tawhai (CEO)</v>
          </cell>
          <cell r="AF86" t="str">
            <v>12 Little Bramston St</v>
          </cell>
          <cell r="AG86" t="str">
            <v>Gladstone</v>
          </cell>
          <cell r="AH86" t="str">
            <v>4680</v>
          </cell>
          <cell r="AP86" t="str">
            <v>No</v>
          </cell>
        </row>
        <row r="87">
          <cell r="K87">
            <v>1</v>
          </cell>
          <cell r="L87">
            <v>1</v>
          </cell>
          <cell r="M87">
            <v>1</v>
          </cell>
          <cell r="N87">
            <v>1</v>
          </cell>
          <cell r="O87">
            <v>1</v>
          </cell>
          <cell r="P87">
            <v>1</v>
          </cell>
          <cell r="Q87">
            <v>1</v>
          </cell>
          <cell r="R87">
            <v>1</v>
          </cell>
          <cell r="S87">
            <v>1</v>
          </cell>
          <cell r="T87" t="str">
            <v>RTO - Current - Application Approved</v>
          </cell>
          <cell r="AA87" t="str">
            <v>30820</v>
          </cell>
          <cell r="AB87" t="str">
            <v>Down Under Training and Consulting Pty Ltd</v>
          </cell>
          <cell r="AC87" t="str">
            <v>Down Under Training</v>
          </cell>
          <cell r="AD87" t="str">
            <v>86 099 302 539</v>
          </cell>
          <cell r="AE87" t="str">
            <v>Mr David Hull (CEO); Ms Tracy Perkins (Administration)</v>
          </cell>
          <cell r="AF87" t="str">
            <v>12/16 Transport Ave</v>
          </cell>
          <cell r="AG87" t="str">
            <v>Paget</v>
          </cell>
          <cell r="AH87" t="str">
            <v>4740</v>
          </cell>
          <cell r="AP87" t="str">
            <v>No</v>
          </cell>
        </row>
        <row r="88">
          <cell r="K88">
            <v>1</v>
          </cell>
          <cell r="L88">
            <v>1</v>
          </cell>
          <cell r="M88">
            <v>1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 t="str">
            <v>RTO - Terminated by RTO</v>
          </cell>
          <cell r="AA88" t="str">
            <v>31786</v>
          </cell>
          <cell r="AB88" t="str">
            <v>DRA Safety Specialists Pty Ltd the Trustee for the DRA Safety Specialists Unit Trust</v>
          </cell>
          <cell r="AC88" t="str">
            <v>The Trustee of the DRA Safety Specialist</v>
          </cell>
          <cell r="AD88" t="str">
            <v>89 567 604 587</v>
          </cell>
          <cell r="AE88" t="str">
            <v>Mr David John Randall</v>
          </cell>
          <cell r="AF88" t="str">
            <v>Unit 14, 142 Siganto Dr</v>
          </cell>
          <cell r="AG88" t="str">
            <v>Helensvale</v>
          </cell>
          <cell r="AH88" t="str">
            <v>4212</v>
          </cell>
        </row>
        <row r="89">
          <cell r="K89">
            <v>1</v>
          </cell>
          <cell r="L89">
            <v>1</v>
          </cell>
          <cell r="M89">
            <v>1</v>
          </cell>
          <cell r="N89">
            <v>1</v>
          </cell>
          <cell r="O89">
            <v>1</v>
          </cell>
          <cell r="P89">
            <v>1</v>
          </cell>
          <cell r="Q89">
            <v>1</v>
          </cell>
          <cell r="R89">
            <v>1</v>
          </cell>
          <cell r="S89">
            <v>1</v>
          </cell>
          <cell r="T89" t="str">
            <v>RTO - Current - Application Approved</v>
          </cell>
          <cell r="AA89" t="str">
            <v>31522</v>
          </cell>
          <cell r="AB89" t="str">
            <v>Driveway Training Pty Ltd</v>
          </cell>
          <cell r="AC89" t="str">
            <v>Driveway Training</v>
          </cell>
          <cell r="AD89" t="str">
            <v>26 092 725 016</v>
          </cell>
          <cell r="AE89" t="str">
            <v>Mr Kevin Berichon (CEO)</v>
          </cell>
          <cell r="AF89" t="str">
            <v>10 Burgess St</v>
          </cell>
          <cell r="AG89" t="str">
            <v>Annandale</v>
          </cell>
          <cell r="AH89" t="str">
            <v>4814</v>
          </cell>
          <cell r="AP89" t="str">
            <v>No</v>
          </cell>
        </row>
        <row r="90">
          <cell r="K90">
            <v>1</v>
          </cell>
          <cell r="L90">
            <v>1</v>
          </cell>
          <cell r="M90">
            <v>1</v>
          </cell>
          <cell r="N90">
            <v>1</v>
          </cell>
          <cell r="O90">
            <v>1</v>
          </cell>
          <cell r="P90">
            <v>1</v>
          </cell>
          <cell r="Q90">
            <v>1</v>
          </cell>
          <cell r="R90">
            <v>1</v>
          </cell>
          <cell r="S90">
            <v>1</v>
          </cell>
          <cell r="T90" t="str">
            <v>RTO - Terminated by WHSQ</v>
          </cell>
          <cell r="AA90" t="str">
            <v>91232</v>
          </cell>
          <cell r="AB90" t="str">
            <v>E Firstaid Pty Ltd</v>
          </cell>
          <cell r="AC90" t="str">
            <v>Enervation Learning</v>
          </cell>
          <cell r="AD90" t="str">
            <v>29 065 930 753</v>
          </cell>
          <cell r="AE90" t="str">
            <v>Mrs Amy Marriott (CEO)</v>
          </cell>
          <cell r="AF90" t="str">
            <v>Unit 19 5 - 7 Channel road</v>
          </cell>
          <cell r="AG90" t="str">
            <v>Mayfield West</v>
          </cell>
          <cell r="AH90" t="str">
            <v>2304</v>
          </cell>
        </row>
        <row r="91">
          <cell r="K91">
            <v>1</v>
          </cell>
          <cell r="L91">
            <v>1</v>
          </cell>
          <cell r="M91">
            <v>1</v>
          </cell>
          <cell r="N91">
            <v>1</v>
          </cell>
          <cell r="O91">
            <v>45149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 t="str">
            <v>RTO - Current - Application Approved</v>
          </cell>
          <cell r="AA91" t="str">
            <v>32252</v>
          </cell>
          <cell r="AB91" t="str">
            <v>Eclipse Vale Pty Ltd</v>
          </cell>
          <cell r="AC91" t="str">
            <v>Eclipse Online Education</v>
          </cell>
          <cell r="AD91" t="str">
            <v>59 130 827 100</v>
          </cell>
          <cell r="AE91" t="str">
            <v>Ms Bridget Walsh (CEO); Mr Lanon Brown (Director)</v>
          </cell>
          <cell r="AF91" t="str">
            <v>182-184 Moorabool St</v>
          </cell>
          <cell r="AG91" t="str">
            <v>Geelong</v>
          </cell>
          <cell r="AH91" t="str">
            <v>3220</v>
          </cell>
          <cell r="AP91" t="str">
            <v>No</v>
          </cell>
        </row>
        <row r="92">
          <cell r="K92">
            <v>1</v>
          </cell>
          <cell r="L92">
            <v>1</v>
          </cell>
          <cell r="M92">
            <v>1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 t="str">
            <v>RTO - Current - Application Approved</v>
          </cell>
          <cell r="AA92" t="str">
            <v>32376</v>
          </cell>
          <cell r="AB92" t="str">
            <v>EDB Training Services Pty Ltd as Trustee for The Barber Family Trust</v>
          </cell>
          <cell r="AC92" t="str">
            <v>EDB Training Services</v>
          </cell>
          <cell r="AD92" t="str">
            <v>29 445 529 876</v>
          </cell>
          <cell r="AE92" t="str">
            <v>Mr Bradley Barber (CEO)</v>
          </cell>
          <cell r="AF92" t="str">
            <v>Unit 2&amp;3, 75 Redland Bay Rd</v>
          </cell>
          <cell r="AG92" t="str">
            <v>Capalaba</v>
          </cell>
          <cell r="AH92" t="str">
            <v>4157</v>
          </cell>
          <cell r="AP92" t="str">
            <v>No</v>
          </cell>
        </row>
        <row r="93">
          <cell r="T93" t="str">
            <v>RTO - Terminated by RTO</v>
          </cell>
          <cell r="AA93" t="str">
            <v>31330</v>
          </cell>
          <cell r="AB93" t="str">
            <v>Edmund Rice Education Australia</v>
          </cell>
          <cell r="AC93" t="str">
            <v>Youth Plus</v>
          </cell>
          <cell r="AD93" t="str">
            <v>96 372 268 340</v>
          </cell>
          <cell r="AE93" t="str">
            <v>Sandra Lee</v>
          </cell>
          <cell r="AF93" t="str">
            <v>58 Fernberg Road</v>
          </cell>
          <cell r="AG93" t="str">
            <v>Paddington</v>
          </cell>
          <cell r="AH93" t="str">
            <v>4064</v>
          </cell>
        </row>
        <row r="94">
          <cell r="K94">
            <v>1</v>
          </cell>
          <cell r="L94">
            <v>1</v>
          </cell>
          <cell r="M94">
            <v>1</v>
          </cell>
          <cell r="N94">
            <v>1</v>
          </cell>
          <cell r="O94">
            <v>45251</v>
          </cell>
          <cell r="P94">
            <v>1</v>
          </cell>
          <cell r="Q94">
            <v>1</v>
          </cell>
          <cell r="R94">
            <v>1</v>
          </cell>
          <cell r="S94">
            <v>1</v>
          </cell>
          <cell r="T94" t="str">
            <v>RTO - Current - Application Approved</v>
          </cell>
          <cell r="AA94" t="str">
            <v>91401</v>
          </cell>
          <cell r="AB94" t="str">
            <v>Edway Training Pty Ltd</v>
          </cell>
          <cell r="AC94" t="str">
            <v>000 Edway Training</v>
          </cell>
          <cell r="AD94" t="str">
            <v>89 125 949 117</v>
          </cell>
          <cell r="AE94" t="str">
            <v>Mr Andrey Petrushko (CEO); Mr Simon Judge (Compliance Manager)</v>
          </cell>
          <cell r="AF94" t="str">
            <v>Suite 1.05, 3 Bowen Crescent</v>
          </cell>
          <cell r="AG94" t="str">
            <v>Melbourne</v>
          </cell>
          <cell r="AH94" t="str">
            <v>3004</v>
          </cell>
          <cell r="AP94" t="str">
            <v>No</v>
          </cell>
        </row>
        <row r="95">
          <cell r="T95" t="str">
            <v>RTO - Terminated - ASQA Registration/Scope Ended</v>
          </cell>
          <cell r="AA95" t="str">
            <v>41069</v>
          </cell>
          <cell r="AB95" t="str">
            <v>EIR Group Pty Ltd</v>
          </cell>
          <cell r="AC95" t="str">
            <v>N/A</v>
          </cell>
          <cell r="AD95" t="str">
            <v>20 031 496 688</v>
          </cell>
          <cell r="AE95" t="str">
            <v>Mr Simon Keegan</v>
          </cell>
          <cell r="AF95" t="str">
            <v>25/52 O'Dea Ave</v>
          </cell>
          <cell r="AG95" t="str">
            <v>WATERLOO</v>
          </cell>
          <cell r="AH95" t="str">
            <v>2017</v>
          </cell>
        </row>
        <row r="96">
          <cell r="T96" t="str">
            <v>RTO - Terminated by RTO</v>
          </cell>
          <cell r="AA96" t="str">
            <v>21439</v>
          </cell>
          <cell r="AB96" t="str">
            <v>Electricity Training and Development Pty Ltd</v>
          </cell>
          <cell r="AC96" t="str">
            <v>N/A</v>
          </cell>
          <cell r="AD96" t="str">
            <v>97 094 408 563</v>
          </cell>
          <cell r="AE96" t="str">
            <v>Grant Roe</v>
          </cell>
          <cell r="AF96" t="str">
            <v>Unit 39, 11 Bryants Road</v>
          </cell>
          <cell r="AG96" t="str">
            <v>Dandenong</v>
          </cell>
          <cell r="AH96" t="str">
            <v>3175</v>
          </cell>
        </row>
        <row r="97">
          <cell r="K97">
            <v>1</v>
          </cell>
          <cell r="L97">
            <v>1</v>
          </cell>
          <cell r="M97">
            <v>1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 t="str">
            <v>RTO - Current - Application Approved</v>
          </cell>
          <cell r="AA97" t="str">
            <v>30185</v>
          </cell>
          <cell r="AB97" t="str">
            <v>Electro Group Training Queensland Limited</v>
          </cell>
          <cell r="AC97" t="str">
            <v>Electro Group Training Queensland LTD</v>
          </cell>
          <cell r="AD97" t="str">
            <v>64 085 204 379</v>
          </cell>
          <cell r="AE97" t="str">
            <v>Ms Donna Pickford (CEO)</v>
          </cell>
          <cell r="AF97" t="str">
            <v>749 MacArthur Avenue Central</v>
          </cell>
          <cell r="AG97" t="str">
            <v>Pinkenba</v>
          </cell>
          <cell r="AH97" t="str">
            <v>4008</v>
          </cell>
          <cell r="AP97" t="str">
            <v>No</v>
          </cell>
        </row>
        <row r="98">
          <cell r="K98">
            <v>1</v>
          </cell>
          <cell r="L98">
            <v>1</v>
          </cell>
          <cell r="M98">
            <v>1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 t="str">
            <v>RTO - Current - Application Approved</v>
          </cell>
          <cell r="AA98" t="str">
            <v>41554</v>
          </cell>
          <cell r="AB98" t="str">
            <v>Elevated Training Pty Ltd</v>
          </cell>
          <cell r="AC98" t="str">
            <v>N/A</v>
          </cell>
          <cell r="AD98" t="str">
            <v>77 613 984 615</v>
          </cell>
          <cell r="AE98" t="str">
            <v>Mr Mathew Weeding (CEO); Mr Jason Edwards (Director)</v>
          </cell>
          <cell r="AF98" t="str">
            <v>61 Nealdon Dr</v>
          </cell>
          <cell r="AG98" t="str">
            <v>Medowbrook</v>
          </cell>
          <cell r="AH98" t="str">
            <v>4131</v>
          </cell>
          <cell r="AP98" t="str">
            <v>No</v>
          </cell>
        </row>
        <row r="99">
          <cell r="T99" t="str">
            <v>RTO - Terminated by WHSQ</v>
          </cell>
          <cell r="AA99" t="str">
            <v>31496</v>
          </cell>
          <cell r="AB99" t="str">
            <v>Elite Earthmoving Machinery Training Services North Queensland as Trustee for the Brett Portelli Family Trust</v>
          </cell>
          <cell r="AC99" t="str">
            <v>Elite Earthmoving Machinery Training Services</v>
          </cell>
          <cell r="AD99" t="str">
            <v>78 171 300 115</v>
          </cell>
          <cell r="AE99" t="str">
            <v>Mr Brett Portelli</v>
          </cell>
          <cell r="AF99" t="str">
            <v>994 (Lot 3) Leadingham Creek Road</v>
          </cell>
          <cell r="AG99" t="str">
            <v>Dimbulah</v>
          </cell>
          <cell r="AH99" t="str">
            <v>4872</v>
          </cell>
        </row>
        <row r="100">
          <cell r="T100" t="str">
            <v>RTO - Terminated - ASQA Registration/Scope Ended</v>
          </cell>
          <cell r="AA100" t="str">
            <v>40850</v>
          </cell>
          <cell r="AB100" t="str">
            <v>EM Hauri Pty Ltd</v>
          </cell>
          <cell r="AC100" t="str">
            <v>World Tea College; EMH Industries</v>
          </cell>
          <cell r="AD100" t="str">
            <v>23 134 367 598</v>
          </cell>
          <cell r="AE100" t="str">
            <v>(02) 9897 0114</v>
          </cell>
          <cell r="AF100" t="str">
            <v>Unit 7 / 20 Crescent Street</v>
          </cell>
          <cell r="AG100" t="str">
            <v>HOLROYD</v>
          </cell>
          <cell r="AH100" t="str">
            <v>2142</v>
          </cell>
        </row>
        <row r="101">
          <cell r="K101">
            <v>1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 t="str">
            <v>RTO - Current - Application Approved</v>
          </cell>
          <cell r="AA101" t="str">
            <v>31714</v>
          </cell>
          <cell r="AB101" t="str">
            <v>Enterprise Management Group Pty Ltd</v>
          </cell>
          <cell r="AC101" t="str">
            <v>My Pathway</v>
          </cell>
          <cell r="AD101" t="str">
            <v>54 123 371 022</v>
          </cell>
          <cell r="AE101" t="str">
            <v>Mrs Nicole Oke (CEO); Mrs Helen Mathews (Manager)</v>
          </cell>
          <cell r="AF101" t="str">
            <v>130 McLeod St</v>
          </cell>
          <cell r="AG101" t="str">
            <v>Cairns</v>
          </cell>
          <cell r="AH101" t="str">
            <v>4870</v>
          </cell>
          <cell r="AP101" t="str">
            <v>No</v>
          </cell>
        </row>
        <row r="102">
          <cell r="T102" t="str">
            <v>RTO - Terminated by RTO</v>
          </cell>
          <cell r="AA102" t="str">
            <v>30374</v>
          </cell>
          <cell r="AB102" t="str">
            <v>Entertainment and Technical Event Training College Inc</v>
          </cell>
          <cell r="AC102" t="str">
            <v>N/A</v>
          </cell>
          <cell r="AD102" t="str">
            <v>79 754 585 326</v>
          </cell>
          <cell r="AE102" t="str">
            <v>Ms Despina Dimmick</v>
          </cell>
          <cell r="AF102" t="str">
            <v>UNIT 1 8 FINSBURY ST</v>
          </cell>
          <cell r="AG102" t="str">
            <v>New Market</v>
          </cell>
          <cell r="AH102" t="str">
            <v>4051</v>
          </cell>
        </row>
        <row r="103">
          <cell r="K103">
            <v>1</v>
          </cell>
          <cell r="L103">
            <v>1</v>
          </cell>
          <cell r="M103">
            <v>1</v>
          </cell>
          <cell r="N103">
            <v>1</v>
          </cell>
          <cell r="O103">
            <v>1</v>
          </cell>
          <cell r="P103">
            <v>1</v>
          </cell>
          <cell r="Q103">
            <v>1</v>
          </cell>
          <cell r="R103">
            <v>1</v>
          </cell>
          <cell r="S103">
            <v>1</v>
          </cell>
          <cell r="T103" t="str">
            <v>RTO - Terminated by RTO</v>
          </cell>
          <cell r="AA103" t="str">
            <v>40952</v>
          </cell>
          <cell r="AB103" t="str">
            <v>Entrepreneur Education Pty Ltd</v>
          </cell>
          <cell r="AC103" t="str">
            <v>N/A</v>
          </cell>
          <cell r="AD103" t="str">
            <v>16 165 904 496</v>
          </cell>
          <cell r="AE103" t="str">
            <v>Alison Hutchings</v>
          </cell>
          <cell r="AF103" t="str">
            <v>Level 1-4 Chevron Renaissance, 3240 Surfers Paradise Boulevard, Surfers Paradise Qld 4217</v>
          </cell>
          <cell r="AG103" t="str">
            <v>Surfers Paradise</v>
          </cell>
          <cell r="AH103" t="str">
            <v>4217</v>
          </cell>
        </row>
        <row r="104">
          <cell r="K104">
            <v>1</v>
          </cell>
          <cell r="L104">
            <v>1</v>
          </cell>
          <cell r="M104">
            <v>1</v>
          </cell>
          <cell r="N104">
            <v>1</v>
          </cell>
          <cell r="O104">
            <v>1</v>
          </cell>
          <cell r="P104">
            <v>1</v>
          </cell>
          <cell r="Q104">
            <v>1</v>
          </cell>
          <cell r="R104">
            <v>1</v>
          </cell>
          <cell r="S104">
            <v>1</v>
          </cell>
          <cell r="T104" t="str">
            <v>RTO - Terminated by RTO</v>
          </cell>
          <cell r="AA104" t="str">
            <v>5235</v>
          </cell>
          <cell r="AB104" t="str">
            <v>Ergon Energy Corporation Limited</v>
          </cell>
          <cell r="AC104" t="str">
            <v>N/A</v>
          </cell>
          <cell r="AD104" t="str">
            <v>50 087 646 062</v>
          </cell>
          <cell r="AE104" t="str">
            <v>Emily Burgemeister</v>
          </cell>
          <cell r="AF104" t="str">
            <v>420 Flinders Street</v>
          </cell>
          <cell r="AG104" t="str">
            <v>TOWNSVILLE</v>
          </cell>
          <cell r="AH104" t="str">
            <v>4810</v>
          </cell>
        </row>
        <row r="105"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Q105">
            <v>1</v>
          </cell>
          <cell r="R105">
            <v>1</v>
          </cell>
          <cell r="S105">
            <v>1</v>
          </cell>
          <cell r="T105" t="str">
            <v>RTO - Current - Application Approved</v>
          </cell>
          <cell r="AA105" t="str">
            <v>51681</v>
          </cell>
          <cell r="AB105" t="str">
            <v>Everthought College of Construction Pty Ltd</v>
          </cell>
          <cell r="AC105" t="str">
            <v>Australian Institute of ICT</v>
          </cell>
          <cell r="AD105" t="str">
            <v>70 123 363 495</v>
          </cell>
          <cell r="AE105" t="str">
            <v>Mr Michael Hui (CEO); Ms. Guneet Khurana (Compliance Manager)</v>
          </cell>
          <cell r="AF105" t="str">
            <v>Unit 3 92 Mallard Way</v>
          </cell>
          <cell r="AG105" t="str">
            <v>Cannington</v>
          </cell>
          <cell r="AH105" t="str">
            <v>6107</v>
          </cell>
          <cell r="AP105" t="str">
            <v>No</v>
          </cell>
        </row>
        <row r="106">
          <cell r="K106">
            <v>1</v>
          </cell>
          <cell r="L106">
            <v>1</v>
          </cell>
          <cell r="M106">
            <v>1</v>
          </cell>
          <cell r="N106">
            <v>1</v>
          </cell>
          <cell r="O106">
            <v>1</v>
          </cell>
          <cell r="P106">
            <v>1</v>
          </cell>
          <cell r="Q106">
            <v>1</v>
          </cell>
          <cell r="R106">
            <v>1</v>
          </cell>
          <cell r="S106">
            <v>1</v>
          </cell>
          <cell r="T106" t="str">
            <v>RTO - Current - Application Approved</v>
          </cell>
          <cell r="AA106" t="str">
            <v>31733</v>
          </cell>
          <cell r="AB106" t="str">
            <v>Evolution Training and Safety Pty Ltd</v>
          </cell>
          <cell r="AC106" t="str">
            <v>Evolution Training Solutions (T4 Training)</v>
          </cell>
          <cell r="AD106" t="str">
            <v>69 130 554 228</v>
          </cell>
          <cell r="AE106" t="str">
            <v>Marilyn Andre (CEO)</v>
          </cell>
          <cell r="AF106" t="str">
            <v>9 Grenier Drive</v>
          </cell>
          <cell r="AG106" t="str">
            <v>Archerfield</v>
          </cell>
          <cell r="AH106" t="str">
            <v>4108</v>
          </cell>
          <cell r="AP106" t="str">
            <v>No</v>
          </cell>
        </row>
        <row r="107">
          <cell r="T107" t="str">
            <v>RTO - Terminated by RTO</v>
          </cell>
          <cell r="AA107" t="str">
            <v>41296</v>
          </cell>
          <cell r="AB107" t="str">
            <v>Excite Safety Training Pty Ltd</v>
          </cell>
          <cell r="AC107" t="str">
            <v>N/A</v>
          </cell>
          <cell r="AD107" t="str">
            <v>93 165 017 854</v>
          </cell>
          <cell r="AE107" t="str">
            <v>Ms Susan Nicholls</v>
          </cell>
          <cell r="AF107" t="str">
            <v>Level 1, 145 Oak Road</v>
          </cell>
          <cell r="AG107" t="str">
            <v>Kirrawee</v>
          </cell>
          <cell r="AH107" t="str">
            <v>2232</v>
          </cell>
        </row>
        <row r="108">
          <cell r="K108">
            <v>1</v>
          </cell>
          <cell r="L108">
            <v>1</v>
          </cell>
          <cell r="M108">
            <v>1</v>
          </cell>
          <cell r="N108">
            <v>1</v>
          </cell>
          <cell r="O108">
            <v>1</v>
          </cell>
          <cell r="P108">
            <v>1</v>
          </cell>
          <cell r="Q108">
            <v>1</v>
          </cell>
          <cell r="R108">
            <v>1</v>
          </cell>
          <cell r="S108">
            <v>1</v>
          </cell>
          <cell r="T108" t="str">
            <v>RTO - Current - Application Approved</v>
          </cell>
          <cell r="AA108" t="str">
            <v>32461</v>
          </cell>
          <cell r="AB108" t="str">
            <v>FIFO.COM Pty Ltd</v>
          </cell>
          <cell r="AC108" t="str">
            <v>Dawsons Training</v>
          </cell>
          <cell r="AD108" t="str">
            <v>38 127 703 726</v>
          </cell>
          <cell r="AE108" t="str">
            <v>Ms Sharon Dawson (CEO); Blake Alexander (Training Manager)</v>
          </cell>
          <cell r="AF108" t="str">
            <v>50 Greenbank Rd</v>
          </cell>
          <cell r="AG108" t="str">
            <v>Stratford</v>
          </cell>
          <cell r="AH108" t="str">
            <v>4870</v>
          </cell>
          <cell r="AP108" t="str">
            <v>No</v>
          </cell>
        </row>
        <row r="109">
          <cell r="K109">
            <v>1</v>
          </cell>
          <cell r="L109">
            <v>1</v>
          </cell>
          <cell r="M109">
            <v>1</v>
          </cell>
          <cell r="N109">
            <v>1</v>
          </cell>
          <cell r="O109">
            <v>1</v>
          </cell>
          <cell r="P109">
            <v>1</v>
          </cell>
          <cell r="Q109">
            <v>1</v>
          </cell>
          <cell r="R109">
            <v>1</v>
          </cell>
          <cell r="S109">
            <v>1</v>
          </cell>
          <cell r="T109" t="str">
            <v>RTO - Current - Application Approved</v>
          </cell>
          <cell r="AA109" t="str">
            <v>41345</v>
          </cell>
          <cell r="AB109" t="str">
            <v>Final Trim Training Pty Ltd</v>
          </cell>
          <cell r="AC109" t="str">
            <v>N/A</v>
          </cell>
          <cell r="AD109" t="str">
            <v>15 606 804 880</v>
          </cell>
          <cell r="AE109" t="str">
            <v>Mr Jason Davis (CEO); Mr Michael Skewes (CEO)</v>
          </cell>
          <cell r="AF109" t="str">
            <v>3345 Old Gympie Rd</v>
          </cell>
          <cell r="AG109" t="str">
            <v>Landsborough</v>
          </cell>
          <cell r="AH109" t="str">
            <v>4550</v>
          </cell>
          <cell r="AP109" t="str">
            <v>No</v>
          </cell>
        </row>
        <row r="110">
          <cell r="T110" t="str">
            <v>RTO - Terminated - ASQA Registration/Scope Ended</v>
          </cell>
          <cell r="AA110" t="str">
            <v>22250</v>
          </cell>
          <cell r="AB110" t="str">
            <v>Fire and Safety Australia Pty Ltd</v>
          </cell>
          <cell r="AC110" t="str">
            <v>N/A</v>
          </cell>
          <cell r="AD110" t="str">
            <v>17 098 323 712</v>
          </cell>
          <cell r="AE110" t="str">
            <v>Leigh Woodman</v>
          </cell>
          <cell r="AF110" t="str">
            <v>6-7 Hartnett Close</v>
          </cell>
          <cell r="AG110" t="str">
            <v>Mulgrave</v>
          </cell>
          <cell r="AH110" t="str">
            <v>3170</v>
          </cell>
        </row>
        <row r="111">
          <cell r="K111">
            <v>1</v>
          </cell>
          <cell r="L111">
            <v>1</v>
          </cell>
          <cell r="M111">
            <v>1</v>
          </cell>
          <cell r="N111">
            <v>1</v>
          </cell>
          <cell r="O111">
            <v>1</v>
          </cell>
          <cell r="P111">
            <v>1</v>
          </cell>
          <cell r="Q111">
            <v>1</v>
          </cell>
          <cell r="R111">
            <v>1</v>
          </cell>
          <cell r="S111">
            <v>1</v>
          </cell>
          <cell r="T111" t="str">
            <v>RTO - Terminated by RTO</v>
          </cell>
          <cell r="AA111" t="str">
            <v>5343</v>
          </cell>
          <cell r="AB111" t="str">
            <v>FITEC Australia Pty Ltd</v>
          </cell>
          <cell r="AC111" t="str">
            <v>TABMA Training</v>
          </cell>
          <cell r="AD111" t="str">
            <v>39 417 836 108</v>
          </cell>
          <cell r="AE111" t="str">
            <v>Dr June Patricia Dunleavy</v>
          </cell>
          <cell r="AF111" t="str">
            <v>385 Sherwood Rd</v>
          </cell>
          <cell r="AG111" t="str">
            <v>Rocklea</v>
          </cell>
          <cell r="AH111" t="str">
            <v>4106</v>
          </cell>
        </row>
        <row r="112">
          <cell r="K112">
            <v>1</v>
          </cell>
          <cell r="L112">
            <v>1</v>
          </cell>
          <cell r="M112">
            <v>1</v>
          </cell>
          <cell r="N112">
            <v>1</v>
          </cell>
          <cell r="O112">
            <v>1</v>
          </cell>
          <cell r="P112">
            <v>1</v>
          </cell>
          <cell r="Q112">
            <v>1</v>
          </cell>
          <cell r="R112">
            <v>1</v>
          </cell>
          <cell r="S112">
            <v>1</v>
          </cell>
          <cell r="T112" t="str">
            <v>RTO - Current - Application Approved</v>
          </cell>
          <cell r="AA112" t="str">
            <v>31996</v>
          </cell>
          <cell r="AB112" t="str">
            <v>Five Star Security Training Pty Ltd</v>
          </cell>
          <cell r="AC112" t="str">
            <v>Five Star Training Academy</v>
          </cell>
          <cell r="AD112" t="str">
            <v>76 135 481 506</v>
          </cell>
          <cell r="AE112" t="str">
            <v>Mr James Crilly (CEO)</v>
          </cell>
          <cell r="AF112" t="str">
            <v>Unit 7, 60 Nerang St</v>
          </cell>
          <cell r="AG112" t="str">
            <v>Nerang</v>
          </cell>
          <cell r="AH112" t="str">
            <v>4211</v>
          </cell>
          <cell r="AP112" t="str">
            <v>No</v>
          </cell>
        </row>
        <row r="113">
          <cell r="K113">
            <v>1</v>
          </cell>
          <cell r="L113">
            <v>1</v>
          </cell>
          <cell r="M113">
            <v>1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 t="str">
            <v>RTO - Current - Application Approved</v>
          </cell>
          <cell r="AA113" t="str">
            <v>31167</v>
          </cell>
          <cell r="AB113" t="str">
            <v>Flagstone State Community College</v>
          </cell>
          <cell r="AC113" t="str">
            <v>N/A</v>
          </cell>
          <cell r="AD113" t="str">
            <v>33 013 660 434</v>
          </cell>
          <cell r="AE113" t="str">
            <v>Ms Julie Strong (CEO); Ms Jennifer Krause (RTO Manager)</v>
          </cell>
          <cell r="AF113" t="str">
            <v>Poinciana Dr</v>
          </cell>
          <cell r="AG113" t="str">
            <v>Jimboomba</v>
          </cell>
          <cell r="AH113" t="str">
            <v>4280</v>
          </cell>
          <cell r="AP113" t="str">
            <v>Yes</v>
          </cell>
        </row>
        <row r="114">
          <cell r="T114" t="str">
            <v>RTO - Terminated by WHSQ</v>
          </cell>
          <cell r="AA114" t="str">
            <v>30922</v>
          </cell>
          <cell r="AB114" t="str">
            <v>Footwear Repair Apprentice Training Service Pty Ltd</v>
          </cell>
          <cell r="AC114" t="str">
            <v>Tactile Learning Centre</v>
          </cell>
          <cell r="AD114" t="str">
            <v>75 102 477 289</v>
          </cell>
          <cell r="AE114" t="str">
            <v>Mr Gordon Kelly</v>
          </cell>
          <cell r="AF114" t="str">
            <v>9 Kimberley Ct</v>
          </cell>
          <cell r="AG114" t="str">
            <v>Eatons Hill</v>
          </cell>
          <cell r="AH114" t="str">
            <v>4037</v>
          </cell>
        </row>
        <row r="115">
          <cell r="T115" t="str">
            <v>RTO - Terminated by RTO</v>
          </cell>
          <cell r="AA115" t="str">
            <v>22227</v>
          </cell>
          <cell r="AB115" t="str">
            <v>Foresite Training Pty Ltd</v>
          </cell>
          <cell r="AC115" t="str">
            <v>Foresite Training Pty Ltd</v>
          </cell>
          <cell r="AD115" t="str">
            <v>30 119 110 762</v>
          </cell>
          <cell r="AE115" t="str">
            <v>Mr James Maund</v>
          </cell>
          <cell r="AF115" t="str">
            <v>1 Banfield Court</v>
          </cell>
          <cell r="AG115" t="str">
            <v>Truganina</v>
          </cell>
          <cell r="AH115" t="str">
            <v>3029</v>
          </cell>
        </row>
        <row r="116">
          <cell r="T116" t="str">
            <v>RTO - Terminated - ASQA Registration/Scope Ended</v>
          </cell>
          <cell r="AA116" t="str">
            <v>91595</v>
          </cell>
          <cell r="AB116" t="str">
            <v>Forking Essential Pty Ltd</v>
          </cell>
          <cell r="AC116" t="str">
            <v>Boston Institute of Technology</v>
          </cell>
          <cell r="AD116" t="str">
            <v>15 103 426 222</v>
          </cell>
          <cell r="AE116" t="str">
            <v>Anil Bathini</v>
          </cell>
          <cell r="AF116" t="str">
            <v>642 Nicholson Street</v>
          </cell>
          <cell r="AG116" t="str">
            <v>Fitzroy North</v>
          </cell>
          <cell r="AH116" t="str">
            <v>3068</v>
          </cell>
        </row>
        <row r="117">
          <cell r="K117">
            <v>1</v>
          </cell>
          <cell r="L117">
            <v>1</v>
          </cell>
          <cell r="M117">
            <v>1</v>
          </cell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 t="str">
            <v>RTO - Terminated by RTO</v>
          </cell>
          <cell r="AA117" t="str">
            <v>31972</v>
          </cell>
          <cell r="AB117" t="str">
            <v>Foundation Training Australia Pty Ltd</v>
          </cell>
          <cell r="AC117" t="str">
            <v>N/A</v>
          </cell>
          <cell r="AD117" t="str">
            <v>23 129 345 982</v>
          </cell>
          <cell r="AE117" t="str">
            <v>Ms Heather Gardner (CEO); Ms Margie Bradbury (National Operations Manager); Mr Salvatore Contarino (Compliance &amp; Quality Officer)</v>
          </cell>
          <cell r="AF117" t="str">
            <v>685 Main Street </v>
          </cell>
          <cell r="AG117" t="str">
            <v>Kangaroo Point </v>
          </cell>
          <cell r="AH117" t="str">
            <v>4169</v>
          </cell>
          <cell r="AP117" t="str">
            <v>No</v>
          </cell>
        </row>
        <row r="118">
          <cell r="K118">
            <v>1</v>
          </cell>
          <cell r="L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R118">
            <v>1</v>
          </cell>
          <cell r="S118">
            <v>1</v>
          </cell>
          <cell r="T118" t="str">
            <v>RTO - Current - Application Approved</v>
          </cell>
          <cell r="AA118" t="str">
            <v>1826</v>
          </cell>
          <cell r="AB118" t="str">
            <v>Fraser Coast - Training Employment Support Service Inc</v>
          </cell>
          <cell r="AC118" t="str">
            <v>Training Employment Support Service Inc</v>
          </cell>
          <cell r="AD118" t="str">
            <v>54 125 855 167</v>
          </cell>
          <cell r="AE118" t="str">
            <v>Mr Lance Stone (CEO); Ms Gail Endres (General Manager)</v>
          </cell>
          <cell r="AF118" t="str">
            <v>9 Woocoo Dr</v>
          </cell>
          <cell r="AG118" t="str">
            <v>Maryborough</v>
          </cell>
          <cell r="AH118" t="str">
            <v>4650</v>
          </cell>
          <cell r="AP118" t="str">
            <v>No</v>
          </cell>
        </row>
        <row r="119">
          <cell r="K119">
            <v>43959</v>
          </cell>
          <cell r="L119">
            <v>1</v>
          </cell>
          <cell r="M119">
            <v>1</v>
          </cell>
          <cell r="N119">
            <v>1</v>
          </cell>
          <cell r="O119">
            <v>43964</v>
          </cell>
          <cell r="P119">
            <v>1</v>
          </cell>
          <cell r="Q119">
            <v>1</v>
          </cell>
          <cell r="R119">
            <v>1</v>
          </cell>
          <cell r="S119">
            <v>44234</v>
          </cell>
          <cell r="T119" t="str">
            <v>RTO - Current - Application Approved</v>
          </cell>
          <cell r="AA119" t="str">
            <v>32052</v>
          </cell>
          <cell r="AB119" t="str">
            <v>Future Skills Limited</v>
          </cell>
          <cell r="AC119" t="str">
            <v>N/A</v>
          </cell>
          <cell r="AD119" t="str">
            <v>24 135 816 698</v>
          </cell>
          <cell r="AE119" t="str">
            <v>Ms Victoria Zhou (CEO)</v>
          </cell>
          <cell r="AF119" t="str">
            <v>Suite 1.1, Ian Barclay Building, 460-492 Beaudesert Rd</v>
          </cell>
          <cell r="AG119" t="str">
            <v>Salisbury</v>
          </cell>
          <cell r="AH119" t="str">
            <v>4107</v>
          </cell>
          <cell r="AP119" t="str">
            <v>No</v>
          </cell>
        </row>
        <row r="120">
          <cell r="K120">
            <v>1</v>
          </cell>
          <cell r="L120">
            <v>1</v>
          </cell>
          <cell r="M120">
            <v>1</v>
          </cell>
          <cell r="N120">
            <v>1</v>
          </cell>
          <cell r="O120">
            <v>1</v>
          </cell>
          <cell r="P120">
            <v>1</v>
          </cell>
          <cell r="Q120">
            <v>1</v>
          </cell>
          <cell r="R120">
            <v>1</v>
          </cell>
          <cell r="S120">
            <v>1</v>
          </cell>
          <cell r="T120" t="str">
            <v>RTO - Terminated by RTO</v>
          </cell>
          <cell r="AA120" t="str">
            <v>1647</v>
          </cell>
          <cell r="AB120" t="str">
            <v>G James Australia Pty. Ltd.</v>
          </cell>
          <cell r="AC120" t="str">
            <v>G James Australia Pty Ltd</v>
          </cell>
          <cell r="AD120" t="str">
            <v>47 010 823 542</v>
          </cell>
          <cell r="AE120" t="str">
            <v>Ms Rachel Driessen (CEO); Ms Belinda Sanderson (People &amp; Development Manager)</v>
          </cell>
          <cell r="AF120" t="str">
            <v>1084 Kingsford Smith Dr</v>
          </cell>
          <cell r="AG120" t="str">
            <v>Eagle Farm</v>
          </cell>
          <cell r="AH120" t="str">
            <v>4009</v>
          </cell>
          <cell r="AP120" t="str">
            <v>No</v>
          </cell>
        </row>
        <row r="121">
          <cell r="T121" t="str">
            <v>RTO - Terminated - ASQA Registration/Scope Ended</v>
          </cell>
          <cell r="AA121" t="str">
            <v>31449</v>
          </cell>
          <cell r="AB121" t="str">
            <v>G L Marketing &amp; Distribution Pty Ltd atf The Lynch Family Trust</v>
          </cell>
          <cell r="AC121" t="str">
            <v>Construction Training Institute, Learnme</v>
          </cell>
          <cell r="AD121" t="str">
            <v>48 600 127 177</v>
          </cell>
          <cell r="AE121" t="str">
            <v>Mr Graeme Lynch</v>
          </cell>
          <cell r="AF121" t="str">
            <v>Shop 6, South Block, River Park Plaza</v>
          </cell>
          <cell r="AG121" t="str">
            <v>Helensvale</v>
          </cell>
          <cell r="AH121" t="str">
            <v>4212</v>
          </cell>
        </row>
        <row r="122">
          <cell r="T122" t="str">
            <v>RTO - Terminated - ASQA Registration/Scope Ended</v>
          </cell>
          <cell r="AA122" t="str">
            <v>31307</v>
          </cell>
          <cell r="AB122" t="str">
            <v>G.M &amp; H. Caddies</v>
          </cell>
          <cell r="AC122" t="str">
            <v>Advance Profitplan</v>
          </cell>
          <cell r="AD122" t="str">
            <v>30 677 589 622</v>
          </cell>
          <cell r="AE122" t="str">
            <v xml:space="preserve"> Graham Caddis</v>
          </cell>
          <cell r="AF122" t="str">
            <v>11 Waratah street</v>
          </cell>
          <cell r="AG122" t="str">
            <v>Aitkenvale</v>
          </cell>
          <cell r="AH122" t="str">
            <v>4814</v>
          </cell>
        </row>
        <row r="123">
          <cell r="K123">
            <v>1</v>
          </cell>
          <cell r="L123">
            <v>1</v>
          </cell>
          <cell r="M123">
            <v>1</v>
          </cell>
          <cell r="N123">
            <v>1</v>
          </cell>
          <cell r="O123">
            <v>1</v>
          </cell>
          <cell r="P123">
            <v>1</v>
          </cell>
          <cell r="Q123">
            <v>1</v>
          </cell>
          <cell r="R123">
            <v>1</v>
          </cell>
          <cell r="S123">
            <v>1</v>
          </cell>
          <cell r="T123" t="str">
            <v>RTO - Current - Application Approved</v>
          </cell>
          <cell r="AA123" t="str">
            <v>40621</v>
          </cell>
          <cell r="AB123" t="str">
            <v>Corrsafe Enterprises Pty Ltd</v>
          </cell>
          <cell r="AC123" t="str">
            <v>Corrsafe</v>
          </cell>
          <cell r="AD123" t="str">
            <v>16 131 343 756</v>
          </cell>
          <cell r="AE123" t="str">
            <v>Mr Garry Paul Matthias (Managing Director)</v>
          </cell>
          <cell r="AF123" t="str">
            <v>65 Bootooloo Rd</v>
          </cell>
          <cell r="AG123" t="str">
            <v>Bowen</v>
          </cell>
          <cell r="AH123" t="str">
            <v>4805</v>
          </cell>
          <cell r="AP123" t="str">
            <v>No</v>
          </cell>
        </row>
        <row r="124">
          <cell r="T124" t="str">
            <v>RTO - Terminated by RTO</v>
          </cell>
          <cell r="AA124" t="str">
            <v>31465</v>
          </cell>
          <cell r="AB124" t="str">
            <v>Get Safe Training Pty Ltd</v>
          </cell>
          <cell r="AC124" t="str">
            <v>N/A</v>
          </cell>
          <cell r="AD124" t="str">
            <v>48 600 127 177</v>
          </cell>
          <cell r="AE124" t="str">
            <v>Mr Paul Douglas</v>
          </cell>
          <cell r="AF124" t="str">
            <v>377 Palmwoods-Montville Road</v>
          </cell>
          <cell r="AG124" t="str">
            <v>Palmwood</v>
          </cell>
          <cell r="AH124" t="str">
            <v>4555</v>
          </cell>
        </row>
        <row r="125">
          <cell r="K125">
            <v>1</v>
          </cell>
          <cell r="L125">
            <v>1</v>
          </cell>
          <cell r="M125">
            <v>1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 t="str">
            <v>RTO - Current - Application Approved</v>
          </cell>
          <cell r="AA125" t="str">
            <v>40871</v>
          </cell>
          <cell r="AB125" t="str">
            <v>GL Training Pty Ltd</v>
          </cell>
          <cell r="AC125" t="str">
            <v>N/A</v>
          </cell>
          <cell r="AD125" t="str">
            <v>29 165 625 472</v>
          </cell>
          <cell r="AE125" t="str">
            <v>Mr Glenn Mansour (CEO)</v>
          </cell>
          <cell r="AF125" t="str">
            <v>8 Ryecroft St</v>
          </cell>
          <cell r="AG125" t="str">
            <v>Cararra</v>
          </cell>
          <cell r="AH125" t="str">
            <v>4211</v>
          </cell>
          <cell r="AP125" t="str">
            <v>No</v>
          </cell>
        </row>
        <row r="126">
          <cell r="T126" t="str">
            <v>RTO - Terminated by RTO</v>
          </cell>
          <cell r="AA126" t="str">
            <v>110049</v>
          </cell>
          <cell r="AB126" t="str">
            <v>Global Industry Training Pty Ltd</v>
          </cell>
          <cell r="AC126" t="str">
            <v>Global Industry Training Pty Ltd</v>
          </cell>
          <cell r="AD126" t="str">
            <v>56 136 444 954</v>
          </cell>
          <cell r="AE126" t="str">
            <v>Mr Paul Andrew Lange</v>
          </cell>
          <cell r="AF126" t="str">
            <v>285 Draper Street</v>
          </cell>
          <cell r="AG126" t="str">
            <v>Cairns</v>
          </cell>
          <cell r="AH126" t="str">
            <v>4870</v>
          </cell>
        </row>
        <row r="127">
          <cell r="T127" t="str">
            <v>RTO - Terminated by RTO</v>
          </cell>
          <cell r="AA127" t="str">
            <v>31094</v>
          </cell>
          <cell r="AB127" t="str">
            <v>Gold Coast City Council</v>
          </cell>
          <cell r="AC127" t="str">
            <v>N/A</v>
          </cell>
          <cell r="AD127" t="str">
            <v>84 858 548 460</v>
          </cell>
          <cell r="AE127" t="str">
            <v>Mr Anthony McCabe</v>
          </cell>
          <cell r="AF127" t="str">
            <v>Waterside West, level 3, 10 Holden Place</v>
          </cell>
          <cell r="AG127" t="str">
            <v>Bundall</v>
          </cell>
          <cell r="AH127" t="str">
            <v>4217</v>
          </cell>
        </row>
        <row r="128">
          <cell r="T128" t="str">
            <v>RTO - Terminated by RTO</v>
          </cell>
          <cell r="AA128" t="str">
            <v>40816</v>
          </cell>
          <cell r="AB128" t="str">
            <v>Rae- Ann MacMahon</v>
          </cell>
          <cell r="AC128" t="str">
            <v>Gold Coast Training College Pty Ltd</v>
          </cell>
          <cell r="AD128" t="str">
            <v>31 736 522 726</v>
          </cell>
          <cell r="AE128" t="str">
            <v>Rae-anne McMahon</v>
          </cell>
          <cell r="AF128" t="str">
            <v>Unit 19/8 Corporation Circuit</v>
          </cell>
          <cell r="AG128" t="str">
            <v>Tweed Heads Sth</v>
          </cell>
          <cell r="AH128" t="str">
            <v>2486</v>
          </cell>
        </row>
        <row r="129">
          <cell r="K129">
            <v>1</v>
          </cell>
          <cell r="L129">
            <v>1</v>
          </cell>
          <cell r="M129">
            <v>1</v>
          </cell>
          <cell r="N129">
            <v>1</v>
          </cell>
          <cell r="O129">
            <v>1</v>
          </cell>
          <cell r="P129">
            <v>1</v>
          </cell>
          <cell r="Q129">
            <v>1</v>
          </cell>
          <cell r="R129">
            <v>1</v>
          </cell>
          <cell r="S129">
            <v>1</v>
          </cell>
          <cell r="T129" t="str">
            <v>RTO - Current - Application Approved</v>
          </cell>
          <cell r="AA129" t="str">
            <v>40515</v>
          </cell>
          <cell r="AB129" t="str">
            <v>Gold Training Pty Ltd</v>
          </cell>
          <cell r="AC129" t="str">
            <v>Gold Training</v>
          </cell>
          <cell r="AD129" t="str">
            <v>39 123 157 120</v>
          </cell>
          <cell r="AE129" t="str">
            <v>Mr Cameron Hockaday (CEO); Ms Anna Lee (Operations)</v>
          </cell>
          <cell r="AF129" t="str">
            <v>19 Main Dr</v>
          </cell>
          <cell r="AG129" t="str">
            <v>Warana</v>
          </cell>
          <cell r="AH129" t="str">
            <v>4575</v>
          </cell>
          <cell r="AP129" t="str">
            <v>No</v>
          </cell>
        </row>
        <row r="130">
          <cell r="K130">
            <v>1</v>
          </cell>
          <cell r="L130">
            <v>1</v>
          </cell>
          <cell r="M130">
            <v>1</v>
          </cell>
          <cell r="N130">
            <v>1</v>
          </cell>
          <cell r="O130">
            <v>1</v>
          </cell>
          <cell r="P130">
            <v>1</v>
          </cell>
          <cell r="Q130">
            <v>1</v>
          </cell>
          <cell r="R130">
            <v>1</v>
          </cell>
          <cell r="S130">
            <v>1</v>
          </cell>
          <cell r="T130" t="str">
            <v>RTO - Current - Application Approved</v>
          </cell>
          <cell r="AA130" t="str">
            <v>31425</v>
          </cell>
          <cell r="AB130" t="str">
            <v>Greenstone Safety Training Pty Ltd as Trustee for the Pene Family Trust</v>
          </cell>
          <cell r="AC130" t="str">
            <v>Greenstone Safety Training</v>
          </cell>
          <cell r="AD130" t="str">
            <v>51 648 610 811</v>
          </cell>
          <cell r="AE130" t="str">
            <v>Mr Raymond Pene; Harvey Pene (Training Manager)</v>
          </cell>
          <cell r="AF130" t="str">
            <v>37 South St</v>
          </cell>
          <cell r="AG130" t="str">
            <v>Lytton</v>
          </cell>
          <cell r="AH130" t="str">
            <v>4178</v>
          </cell>
        </row>
        <row r="131">
          <cell r="K131">
            <v>1</v>
          </cell>
          <cell r="L131">
            <v>1</v>
          </cell>
          <cell r="M131">
            <v>1</v>
          </cell>
          <cell r="N131">
            <v>1</v>
          </cell>
          <cell r="O131">
            <v>1</v>
          </cell>
          <cell r="P131">
            <v>1</v>
          </cell>
          <cell r="Q131">
            <v>1</v>
          </cell>
          <cell r="R131">
            <v>1</v>
          </cell>
          <cell r="S131">
            <v>1</v>
          </cell>
          <cell r="T131" t="str">
            <v>RTO - Current - Application Approved</v>
          </cell>
          <cell r="AA131" t="str">
            <v>31890</v>
          </cell>
          <cell r="AB131" t="str">
            <v>Guinea Enterprises Pty Ltd</v>
          </cell>
          <cell r="AC131" t="str">
            <v>Narbil Training Services</v>
          </cell>
          <cell r="AD131" t="str">
            <v>50 099 087 760</v>
          </cell>
          <cell r="AE131" t="str">
            <v>Mr John Guinea (CEO); Ms Vanessa Guinea (Manager)</v>
          </cell>
          <cell r="AF131" t="str">
            <v>7 Lyons Street</v>
          </cell>
          <cell r="AG131" t="str">
            <v>South Gladstone</v>
          </cell>
          <cell r="AH131" t="str">
            <v>4680</v>
          </cell>
          <cell r="AP131" t="str">
            <v>No</v>
          </cell>
        </row>
        <row r="132"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</v>
          </cell>
          <cell r="R132">
            <v>1</v>
          </cell>
          <cell r="S132">
            <v>1</v>
          </cell>
          <cell r="T132" t="str">
            <v>RTO - Current - Application Approved</v>
          </cell>
          <cell r="AA132" t="str">
            <v>32485</v>
          </cell>
          <cell r="AB132" t="str">
            <v>Halo Nation Training Pty Ltd</v>
          </cell>
          <cell r="AC132" t="str">
            <v>N/A</v>
          </cell>
          <cell r="AD132" t="str">
            <v>87 133 724 660</v>
          </cell>
          <cell r="AE132" t="str">
            <v>Karen Statham (CEO); Jorgia Munroe (Team Leader)</v>
          </cell>
          <cell r="AF132" t="str">
            <v>182 Bay Tce</v>
          </cell>
          <cell r="AG132" t="str">
            <v>Wynnum</v>
          </cell>
          <cell r="AH132" t="str">
            <v>4178</v>
          </cell>
          <cell r="AP132" t="str">
            <v>No</v>
          </cell>
        </row>
        <row r="133">
          <cell r="K133">
            <v>1</v>
          </cell>
          <cell r="L133">
            <v>1</v>
          </cell>
          <cell r="M133">
            <v>1</v>
          </cell>
          <cell r="N133">
            <v>1</v>
          </cell>
          <cell r="O133">
            <v>1</v>
          </cell>
          <cell r="P133">
            <v>1</v>
          </cell>
          <cell r="Q133">
            <v>1</v>
          </cell>
          <cell r="R133">
            <v>1</v>
          </cell>
          <cell r="S133">
            <v>1</v>
          </cell>
          <cell r="T133" t="str">
            <v>RTO - Current - Application Approved</v>
          </cell>
          <cell r="AA133" t="str">
            <v>91533</v>
          </cell>
          <cell r="AB133" t="str">
            <v>HCR Constructions Pty Ltd</v>
          </cell>
          <cell r="AC133" t="str">
            <v>Step Into Training Services</v>
          </cell>
          <cell r="AD133" t="str">
            <v>16 082 365 508</v>
          </cell>
          <cell r="AE133" t="str">
            <v>Mr Rajat Saraswat (CEO); Ms Sarah Kaur (Operations Manager)</v>
          </cell>
          <cell r="AF133" t="str">
            <v>Unit 9, 91 Wembley Rd</v>
          </cell>
          <cell r="AG133" t="str">
            <v>Logan Central</v>
          </cell>
          <cell r="AH133" t="str">
            <v>4114</v>
          </cell>
          <cell r="AP133" t="str">
            <v>No</v>
          </cell>
        </row>
        <row r="134">
          <cell r="K134">
            <v>1</v>
          </cell>
          <cell r="L134">
            <v>1</v>
          </cell>
          <cell r="M134">
            <v>1</v>
          </cell>
          <cell r="N134">
            <v>1</v>
          </cell>
          <cell r="O134">
            <v>1</v>
          </cell>
          <cell r="P134">
            <v>1</v>
          </cell>
          <cell r="Q134">
            <v>1</v>
          </cell>
          <cell r="R134">
            <v>1</v>
          </cell>
          <cell r="S134">
            <v>1</v>
          </cell>
          <cell r="T134" t="str">
            <v>RTO - Current - Application Approved</v>
          </cell>
          <cell r="AA134" t="str">
            <v>32226</v>
          </cell>
          <cell r="AB134" t="str">
            <v>Heaton Industrial Holdings Pty Ltd</v>
          </cell>
          <cell r="AC134" t="str">
            <v>N/A</v>
          </cell>
          <cell r="AD134" t="str">
            <v>14 003 271 396</v>
          </cell>
          <cell r="AE134" t="str">
            <v>Mr Rick Brian Heaton (CEO)</v>
          </cell>
          <cell r="AF134" t="str">
            <v>57 Pascoe Rd</v>
          </cell>
          <cell r="AG134" t="str">
            <v>Ormeau</v>
          </cell>
          <cell r="AH134" t="str">
            <v>4208</v>
          </cell>
          <cell r="AP134" t="str">
            <v>No</v>
          </cell>
        </row>
        <row r="135">
          <cell r="K135">
            <v>1</v>
          </cell>
          <cell r="L135">
            <v>1</v>
          </cell>
          <cell r="M135">
            <v>1</v>
          </cell>
          <cell r="N135">
            <v>1</v>
          </cell>
          <cell r="O135">
            <v>1</v>
          </cell>
          <cell r="P135">
            <v>1</v>
          </cell>
          <cell r="Q135">
            <v>1</v>
          </cell>
          <cell r="R135">
            <v>1</v>
          </cell>
          <cell r="S135">
            <v>1</v>
          </cell>
          <cell r="T135" t="str">
            <v>RTO - Terminated - ASQA Registration/Scope Ended</v>
          </cell>
          <cell r="AA135" t="str">
            <v>1653</v>
          </cell>
          <cell r="AB135" t="str">
            <v>Help Enterprises Limited</v>
          </cell>
          <cell r="AC135" t="str">
            <v>N/A</v>
          </cell>
          <cell r="AD135" t="str">
            <v>46 479 304 129</v>
          </cell>
          <cell r="AE135" t="str">
            <v>Ms Sharyn Wickson</v>
          </cell>
          <cell r="AF135" t="str">
            <v>50 Curtin Avenue East</v>
          </cell>
          <cell r="AG135" t="str">
            <v>Eagle Farm</v>
          </cell>
          <cell r="AH135" t="str">
            <v>4009</v>
          </cell>
        </row>
        <row r="136">
          <cell r="T136" t="str">
            <v>RTO - Terminated by RTO</v>
          </cell>
          <cell r="AA136" t="str">
            <v>6996</v>
          </cell>
          <cell r="AB136" t="str">
            <v>HGT Australia Ltd</v>
          </cell>
          <cell r="AC136" t="str">
            <v>Novaskill; HGT Australia International College</v>
          </cell>
          <cell r="AD136" t="str">
            <v>25 001 868 542</v>
          </cell>
          <cell r="AE136" t="str">
            <v>Phillip Walkley</v>
          </cell>
          <cell r="AF136" t="str">
            <v>58 Tamar Street</v>
          </cell>
          <cell r="AG136" t="str">
            <v>Ballina</v>
          </cell>
          <cell r="AH136" t="str">
            <v>2478</v>
          </cell>
        </row>
        <row r="137">
          <cell r="K137">
            <v>1</v>
          </cell>
          <cell r="L137">
            <v>1</v>
          </cell>
          <cell r="M137">
            <v>1</v>
          </cell>
          <cell r="N137">
            <v>1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 t="str">
            <v>RTO - Current - Application Approved</v>
          </cell>
          <cell r="AA137" t="str">
            <v>40973</v>
          </cell>
          <cell r="AB137" t="str">
            <v>HI-Reach Training Australia Pty Ltd</v>
          </cell>
          <cell r="AC137" t="str">
            <v>N/A</v>
          </cell>
          <cell r="AD137" t="str">
            <v>98 168 207 289</v>
          </cell>
          <cell r="AE137" t="str">
            <v>Mr Colin Fox (CEO); Mrs Naomi Sherrington (RTO Manager)</v>
          </cell>
          <cell r="AF137" t="str">
            <v>18 Goodman Place</v>
          </cell>
          <cell r="AG137" t="str">
            <v>Murarrie</v>
          </cell>
          <cell r="AH137" t="str">
            <v>4172</v>
          </cell>
          <cell r="AP137" t="str">
            <v>No</v>
          </cell>
        </row>
        <row r="138">
          <cell r="K138">
            <v>1</v>
          </cell>
          <cell r="L138">
            <v>1</v>
          </cell>
          <cell r="M138">
            <v>1</v>
          </cell>
          <cell r="N138">
            <v>1</v>
          </cell>
          <cell r="O138">
            <v>1</v>
          </cell>
          <cell r="P138">
            <v>1</v>
          </cell>
          <cell r="Q138">
            <v>1</v>
          </cell>
          <cell r="R138">
            <v>1</v>
          </cell>
          <cell r="S138">
            <v>1</v>
          </cell>
          <cell r="T138" t="str">
            <v>RTO - Current - Application Approved</v>
          </cell>
          <cell r="AA138" t="str">
            <v>21583</v>
          </cell>
          <cell r="AB138" t="str">
            <v>House of Learning Pty Ltd</v>
          </cell>
          <cell r="AC138" t="str">
            <v>Builders Academy Australia</v>
          </cell>
          <cell r="AD138" t="str">
            <v>21 144 869 634</v>
          </cell>
          <cell r="AE138" t="str">
            <v>Ali Musai (CEO)</v>
          </cell>
          <cell r="AF138" t="str">
            <v>Level 5/570 St Kilda Road</v>
          </cell>
          <cell r="AG138" t="str">
            <v>Melbourne</v>
          </cell>
          <cell r="AH138" t="str">
            <v>3004</v>
          </cell>
          <cell r="AP138" t="str">
            <v>No</v>
          </cell>
        </row>
        <row r="139">
          <cell r="K139">
            <v>1</v>
          </cell>
          <cell r="L139">
            <v>1</v>
          </cell>
          <cell r="M139">
            <v>1</v>
          </cell>
          <cell r="N139">
            <v>1</v>
          </cell>
          <cell r="O139">
            <v>1</v>
          </cell>
          <cell r="P139">
            <v>1</v>
          </cell>
          <cell r="Q139">
            <v>1</v>
          </cell>
          <cell r="R139">
            <v>1</v>
          </cell>
          <cell r="S139">
            <v>1</v>
          </cell>
          <cell r="T139" t="str">
            <v>RTO - Current - Application Approved</v>
          </cell>
          <cell r="AA139" t="str">
            <v>1091</v>
          </cell>
          <cell r="AB139" t="str">
            <v>Housing Industry Association Ltd</v>
          </cell>
          <cell r="AC139" t="str">
            <v>Housing Industry Association Ltd</v>
          </cell>
          <cell r="AD139" t="str">
            <v>99 004 631 752</v>
          </cell>
          <cell r="AE139" t="str">
            <v>Mr Brenton Gardner (CEO); Ms Vanissa Chalmers (Qld Training Manager)</v>
          </cell>
          <cell r="AF139" t="str">
            <v>Building 8, Level 4, 584 Swam Street</v>
          </cell>
          <cell r="AG139" t="str">
            <v>Burnley</v>
          </cell>
          <cell r="AH139" t="str">
            <v>3121</v>
          </cell>
          <cell r="AP139" t="str">
            <v>No</v>
          </cell>
        </row>
        <row r="140">
          <cell r="T140" t="str">
            <v>RTO - Terminated by RTO</v>
          </cell>
          <cell r="AA140" t="str">
            <v>31483</v>
          </cell>
          <cell r="AB140" t="str">
            <v>HSE Plus Pty Ltd</v>
          </cell>
          <cell r="AC140" t="str">
            <v>N/A</v>
          </cell>
          <cell r="AD140" t="str">
            <v>58 633 473 092</v>
          </cell>
          <cell r="AE140" t="str">
            <v>Mr Glen Van Emmerik</v>
          </cell>
          <cell r="AF140" t="str">
            <v>Gate 3 Bldg 9CTC complex Fairlie Terrace</v>
          </cell>
          <cell r="AG140" t="str">
            <v>,                    Salisbury</v>
          </cell>
          <cell r="AH140" t="str">
            <v>4107</v>
          </cell>
        </row>
        <row r="141">
          <cell r="T141" t="str">
            <v>RTO - Terminated by RTO</v>
          </cell>
          <cell r="AA141" t="str">
            <v>21340</v>
          </cell>
          <cell r="AB141" t="str">
            <v>Iascend Polytechnic Pty Ltd</v>
          </cell>
          <cell r="AC141" t="str">
            <v>N/A</v>
          </cell>
          <cell r="AD141" t="str">
            <v>40 084 305 555</v>
          </cell>
          <cell r="AE141" t="str">
            <v>Amy Hickman</v>
          </cell>
          <cell r="AF141" t="str">
            <v>Ground Level 333 Flinders Lane</v>
          </cell>
          <cell r="AG141" t="str">
            <v>Melbourne</v>
          </cell>
          <cell r="AH141" t="str">
            <v>3000</v>
          </cell>
        </row>
        <row r="142">
          <cell r="K142">
            <v>1</v>
          </cell>
          <cell r="L142">
            <v>1</v>
          </cell>
          <cell r="M142">
            <v>1</v>
          </cell>
          <cell r="N142">
            <v>1</v>
          </cell>
          <cell r="O142">
            <v>1</v>
          </cell>
          <cell r="P142">
            <v>1</v>
          </cell>
          <cell r="Q142">
            <v>1</v>
          </cell>
          <cell r="R142">
            <v>1</v>
          </cell>
          <cell r="S142">
            <v>1</v>
          </cell>
          <cell r="T142" t="str">
            <v>RTO - Terminated by RTO</v>
          </cell>
          <cell r="AA142" t="str">
            <v>0115</v>
          </cell>
          <cell r="AB142" t="str">
            <v>Impact Community Services Inc</v>
          </cell>
          <cell r="AC142" t="str">
            <v>Impact Community Services Inc</v>
          </cell>
          <cell r="AD142" t="str">
            <v>42 950 261 731</v>
          </cell>
          <cell r="AE142" t="str">
            <v>Ms Tanya O'Shea</v>
          </cell>
          <cell r="AF142" t="str">
            <v>108 Bargara Road</v>
          </cell>
          <cell r="AG142" t="str">
            <v>Bundaberg</v>
          </cell>
          <cell r="AH142" t="str">
            <v>4670</v>
          </cell>
        </row>
        <row r="143">
          <cell r="T143" t="str">
            <v>RTO - Terminated - ASQA Registration/Scope Ended</v>
          </cell>
          <cell r="AA143" t="str">
            <v>31506</v>
          </cell>
          <cell r="AB143" t="str">
            <v>Improvement Tools (Qld) Pty Ltd</v>
          </cell>
          <cell r="AC143" t="str">
            <v>Improve Group, Improve Group Learning Solutions</v>
          </cell>
          <cell r="AD143" t="str">
            <v>27 117 950 099</v>
          </cell>
          <cell r="AE143" t="str">
            <v>Mr Robert Carter</v>
          </cell>
          <cell r="AF143" t="str">
            <v>Suite 16B, Level 1, Raby Bay Harbour Complex,</v>
          </cell>
          <cell r="AG143" t="str">
            <v>Cleveland</v>
          </cell>
          <cell r="AH143" t="str">
            <v>4163</v>
          </cell>
        </row>
        <row r="144">
          <cell r="T144" t="str">
            <v>RTO - Terminated - ASQA Registration/Scope Ended</v>
          </cell>
          <cell r="AA144" t="str">
            <v>20855</v>
          </cell>
          <cell r="AB144" t="str">
            <v>Industrial Resolution Australia</v>
          </cell>
          <cell r="AC144" t="str">
            <v>Key Institute of Training and Education</v>
          </cell>
          <cell r="AD144" t="str">
            <v>32 081 760 947</v>
          </cell>
          <cell r="AE144" t="str">
            <v>Luke Campbell</v>
          </cell>
          <cell r="AF144" t="str">
            <v>Level 4 99 Queens Bridge Street</v>
          </cell>
          <cell r="AG144" t="str">
            <v>Southbank</v>
          </cell>
          <cell r="AH144" t="str">
            <v>3006</v>
          </cell>
        </row>
        <row r="145">
          <cell r="T145" t="str">
            <v>RTO - Terminated by RTO</v>
          </cell>
          <cell r="AA145" t="str">
            <v>0860</v>
          </cell>
          <cell r="AB145" t="str">
            <v>Industry Services Training Ltd</v>
          </cell>
          <cell r="AC145" t="str">
            <v>N/A</v>
          </cell>
          <cell r="AD145" t="str">
            <v>34 121 706 830</v>
          </cell>
          <cell r="AE145" t="str">
            <v>Mrs Tammy Kassiou</v>
          </cell>
          <cell r="AF145" t="str">
            <v>Level 27 32 Turbot St</v>
          </cell>
          <cell r="AG145" t="str">
            <v>Brisbane</v>
          </cell>
          <cell r="AH145" t="str">
            <v>4000</v>
          </cell>
        </row>
        <row r="146"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R146">
            <v>1</v>
          </cell>
          <cell r="S146">
            <v>1</v>
          </cell>
          <cell r="T146" t="str">
            <v>RTO - Current - Application Approved</v>
          </cell>
          <cell r="AA146" t="str">
            <v>30477</v>
          </cell>
          <cell r="AB146" t="str">
            <v>Industry Training QLD Pty Ltd</v>
          </cell>
          <cell r="AC146" t="str">
            <v>Industry Training QLD</v>
          </cell>
          <cell r="AD146" t="str">
            <v>34 087 239 370</v>
          </cell>
          <cell r="AE146" t="str">
            <v>Michael James (CEO); Susan Latham (Compliance Officer)</v>
          </cell>
          <cell r="AF146" t="str">
            <v>51-55 Toll St</v>
          </cell>
          <cell r="AG146" t="str">
            <v>Mount St John</v>
          </cell>
          <cell r="AH146" t="str">
            <v>4818</v>
          </cell>
          <cell r="AP146" t="str">
            <v>No</v>
          </cell>
        </row>
        <row r="147">
          <cell r="K147">
            <v>44484</v>
          </cell>
          <cell r="L147">
            <v>44515</v>
          </cell>
          <cell r="M147">
            <v>1</v>
          </cell>
          <cell r="N147">
            <v>1</v>
          </cell>
          <cell r="O147">
            <v>44516</v>
          </cell>
          <cell r="P147">
            <v>1</v>
          </cell>
          <cell r="Q147">
            <v>1</v>
          </cell>
          <cell r="R147">
            <v>1</v>
          </cell>
          <cell r="S147">
            <v>1</v>
          </cell>
          <cell r="T147" t="str">
            <v>RTO - Current - Application Approved</v>
          </cell>
          <cell r="AA147" t="str">
            <v>40926</v>
          </cell>
          <cell r="AB147" t="str">
            <v>Inscope Training Pty Ltd</v>
          </cell>
          <cell r="AC147" t="str">
            <v>N/A</v>
          </cell>
          <cell r="AD147" t="str">
            <v>57 138 552 520</v>
          </cell>
          <cell r="AE147" t="str">
            <v>Mr Christopher Marsh (CEO); Mr Wesley Goodwin (Operations Manager)</v>
          </cell>
          <cell r="AF147" t="str">
            <v>19-21 Neumann Rd</v>
          </cell>
          <cell r="AG147" t="str">
            <v>Capalaba</v>
          </cell>
          <cell r="AH147" t="str">
            <v>4157</v>
          </cell>
          <cell r="AP147" t="str">
            <v>No</v>
          </cell>
        </row>
        <row r="148">
          <cell r="K148">
            <v>1</v>
          </cell>
          <cell r="L148">
            <v>1</v>
          </cell>
          <cell r="M148">
            <v>1</v>
          </cell>
          <cell r="N148">
            <v>1</v>
          </cell>
          <cell r="O148">
            <v>1</v>
          </cell>
          <cell r="P148">
            <v>1</v>
          </cell>
          <cell r="Q148">
            <v>1</v>
          </cell>
          <cell r="R148">
            <v>1</v>
          </cell>
          <cell r="S148">
            <v>1</v>
          </cell>
          <cell r="T148" t="str">
            <v>RTO - Terminated by RTO</v>
          </cell>
          <cell r="AA148" t="str">
            <v>32142</v>
          </cell>
          <cell r="AB148" t="str">
            <v>Insight Training Group Australia Pty Ltd</v>
          </cell>
          <cell r="AC148" t="str">
            <v>N/A</v>
          </cell>
          <cell r="AD148" t="str">
            <v>77 140 467 929</v>
          </cell>
          <cell r="AE148" t="str">
            <v>Ms Amanda Barrett</v>
          </cell>
          <cell r="AF148" t="str">
            <v>Unit 12/23 Collier Rd</v>
          </cell>
          <cell r="AG148" t="str">
            <v>Morley</v>
          </cell>
          <cell r="AH148" t="str">
            <v>6062</v>
          </cell>
        </row>
        <row r="149">
          <cell r="T149" t="str">
            <v>RTO - Terminated by RTO</v>
          </cell>
          <cell r="AA149" t="str">
            <v>6372</v>
          </cell>
          <cell r="AB149" t="str">
            <v>Institute of Training &amp; Further Education Pty Ltd</v>
          </cell>
          <cell r="AC149" t="str">
            <v>N/A</v>
          </cell>
          <cell r="AD149" t="str">
            <v>35 086 004 097</v>
          </cell>
          <cell r="AE149" t="str">
            <v>Mr Andrew Macdonald</v>
          </cell>
          <cell r="AF149" t="str">
            <v>Level 8, 288 Edward St</v>
          </cell>
          <cell r="AG149" t="str">
            <v>Brisbane</v>
          </cell>
          <cell r="AH149" t="str">
            <v>4000</v>
          </cell>
        </row>
        <row r="150">
          <cell r="T150" t="str">
            <v>RTO - Terminated - ASQA Registration/Scope Ended</v>
          </cell>
          <cell r="AA150" t="str">
            <v>91647</v>
          </cell>
          <cell r="AB150" t="str">
            <v>Institute of Training Pty Ltd</v>
          </cell>
          <cell r="AC150" t="str">
            <v>N/A</v>
          </cell>
          <cell r="AD150" t="str">
            <v>58 121 632 844</v>
          </cell>
          <cell r="AE150" t="str">
            <v>Mr Warren Jack</v>
          </cell>
          <cell r="AF150" t="str">
            <v>7A Carter Street</v>
          </cell>
          <cell r="AG150" t="str">
            <v>LIDCOMBE</v>
          </cell>
          <cell r="AH150" t="str">
            <v>2141</v>
          </cell>
        </row>
        <row r="151">
          <cell r="K151">
            <v>1</v>
          </cell>
          <cell r="L151">
            <v>1</v>
          </cell>
          <cell r="M151">
            <v>1</v>
          </cell>
          <cell r="N151">
            <v>1</v>
          </cell>
          <cell r="O151">
            <v>1</v>
          </cell>
          <cell r="P151">
            <v>1</v>
          </cell>
          <cell r="Q151">
            <v>1</v>
          </cell>
          <cell r="R151">
            <v>1</v>
          </cell>
          <cell r="S151">
            <v>1</v>
          </cell>
          <cell r="T151" t="str">
            <v>RTO - Current - Application Approved</v>
          </cell>
          <cell r="AA151" t="str">
            <v>91816</v>
          </cell>
          <cell r="AB151" t="str">
            <v>Insurance Specialist Group Pty Ltd</v>
          </cell>
          <cell r="AC151" t="str">
            <v>N/A</v>
          </cell>
          <cell r="AD151" t="str">
            <v>92 124 252 526</v>
          </cell>
          <cell r="AE151" t="str">
            <v>Mrs Regina Purcell (Director); Ms Michelle Lo Baluyut</v>
          </cell>
          <cell r="AF151" t="str">
            <v>Suite 22, Level 3, 27 Hunter St</v>
          </cell>
          <cell r="AG151" t="str">
            <v>Parramatta</v>
          </cell>
          <cell r="AH151" t="str">
            <v>2150</v>
          </cell>
          <cell r="AP151" t="str">
            <v>No</v>
          </cell>
        </row>
        <row r="152">
          <cell r="T152" t="str">
            <v>RTO - Terminated - ASQA Registration/Scope Ended</v>
          </cell>
          <cell r="AA152" t="str">
            <v>30939</v>
          </cell>
          <cell r="AB152" t="str">
            <v>J &amp; B Personnel Pty Ltd</v>
          </cell>
          <cell r="AC152" t="str">
            <v>HB Recruitment &amp; Training; HB Training</v>
          </cell>
          <cell r="AD152" t="str">
            <v>52 099 130 677</v>
          </cell>
          <cell r="AE152" t="str">
            <v>Ms Julie Kerin</v>
          </cell>
          <cell r="AF152" t="str">
            <v>88 Russell Street</v>
          </cell>
          <cell r="AG152" t="str">
            <v>Toowoomba</v>
          </cell>
          <cell r="AH152" t="str">
            <v>4350</v>
          </cell>
        </row>
        <row r="153">
          <cell r="K153">
            <v>1</v>
          </cell>
          <cell r="L153">
            <v>1</v>
          </cell>
          <cell r="M153">
            <v>1</v>
          </cell>
          <cell r="N153">
            <v>1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1</v>
          </cell>
          <cell r="T153" t="str">
            <v>RTO - Current - Application Approved</v>
          </cell>
          <cell r="AA153" t="str">
            <v>32409</v>
          </cell>
          <cell r="AB153" t="str">
            <v>J Hutchinson Pty Ltd</v>
          </cell>
          <cell r="AC153" t="str">
            <v>Gold Coast School of Construction</v>
          </cell>
          <cell r="AD153" t="str">
            <v>52 009 778 330</v>
          </cell>
          <cell r="AE153" t="str">
            <v>Mr Peter Forsingdal (CEO)</v>
          </cell>
          <cell r="AF153" t="str">
            <v>584 Milton Road</v>
          </cell>
          <cell r="AG153" t="str">
            <v>Toowong</v>
          </cell>
          <cell r="AH153" t="str">
            <v>4006</v>
          </cell>
          <cell r="AP153" t="str">
            <v>No</v>
          </cell>
        </row>
        <row r="154">
          <cell r="K154">
            <v>1</v>
          </cell>
          <cell r="L154">
            <v>1</v>
          </cell>
          <cell r="M154">
            <v>1</v>
          </cell>
          <cell r="N154">
            <v>1</v>
          </cell>
          <cell r="O154">
            <v>1</v>
          </cell>
          <cell r="P154">
            <v>1</v>
          </cell>
          <cell r="Q154">
            <v>1</v>
          </cell>
          <cell r="R154">
            <v>1</v>
          </cell>
          <cell r="S154">
            <v>1</v>
          </cell>
          <cell r="T154" t="str">
            <v>RTO - Current - Application Approved</v>
          </cell>
          <cell r="AA154" t="str">
            <v>32381</v>
          </cell>
          <cell r="AB154" t="str">
            <v>Civil Safety Pty Ltd</v>
          </cell>
          <cell r="AC154" t="str">
            <v>Civil Safety</v>
          </cell>
          <cell r="AD154" t="str">
            <v>79 097 336 206</v>
          </cell>
          <cell r="AE154" t="str">
            <v>Mr Robert Kerridge (Director); Mr Paul Haywood (Compliance Manager); Michelle Bosel</v>
          </cell>
          <cell r="AF154" t="str">
            <v>Unit 33 207 Currumburra Road</v>
          </cell>
          <cell r="AG154" t="str">
            <v>Ashmore</v>
          </cell>
          <cell r="AH154" t="str">
            <v>4214</v>
          </cell>
          <cell r="AP154" t="str">
            <v>No</v>
          </cell>
        </row>
        <row r="155">
          <cell r="T155" t="str">
            <v>RTO - Terminated - ASQA Registration/Scope Ended</v>
          </cell>
          <cell r="AA155" t="str">
            <v>31660</v>
          </cell>
          <cell r="AB155" t="str">
            <v>Jason Alexander Vinter</v>
          </cell>
          <cell r="AC155" t="str">
            <v>Affordable Driving School</v>
          </cell>
          <cell r="AD155" t="str">
            <v>60 225 720 181</v>
          </cell>
          <cell r="AE155" t="str">
            <v>Mr Jason Alexander Vinter</v>
          </cell>
          <cell r="AF155" t="str">
            <v>19 Rosemount Place</v>
          </cell>
          <cell r="AG155" t="str">
            <v>Carseldine</v>
          </cell>
          <cell r="AH155" t="str">
            <v>4034</v>
          </cell>
        </row>
        <row r="156">
          <cell r="T156" t="str">
            <v>RTO - Terminated - ASQA Registration/Scope Ended</v>
          </cell>
          <cell r="AA156" t="str">
            <v>90277</v>
          </cell>
          <cell r="AB156" t="str">
            <v>JB Hunter Technology Pty Ltd</v>
          </cell>
          <cell r="AC156" t="str">
            <v>N/A</v>
          </cell>
          <cell r="AD156" t="str">
            <v xml:space="preserve"> 99 634 974</v>
          </cell>
          <cell r="AE156" t="str">
            <v>Mr John Croxson</v>
          </cell>
          <cell r="AF156" t="str">
            <v>3/24 Portside Cres</v>
          </cell>
          <cell r="AG156" t="str">
            <v>MARYVILLE</v>
          </cell>
          <cell r="AH156" t="str">
            <v>2293</v>
          </cell>
        </row>
        <row r="157">
          <cell r="K157">
            <v>1</v>
          </cell>
          <cell r="L157">
            <v>1</v>
          </cell>
          <cell r="M157">
            <v>1</v>
          </cell>
          <cell r="N157">
            <v>1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 t="str">
            <v>RTO - Current - Application Approved</v>
          </cell>
          <cell r="AA157" t="str">
            <v>31963</v>
          </cell>
          <cell r="AB157" t="str">
            <v>Jenagar Pty Ltd</v>
          </cell>
          <cell r="AC157" t="str">
            <v>N/A</v>
          </cell>
          <cell r="AD157" t="str">
            <v>44 122 521 788</v>
          </cell>
          <cell r="AE157" t="str">
            <v>Mr Garth Beauchamp (CEO); Ms Kylie Hutley (Manager)</v>
          </cell>
          <cell r="AF157" t="str">
            <v>73 Racecourse Rd</v>
          </cell>
          <cell r="AG157" t="str">
            <v>Richmond Hill</v>
          </cell>
          <cell r="AH157" t="str">
            <v>4820</v>
          </cell>
          <cell r="AP157" t="str">
            <v>No</v>
          </cell>
        </row>
        <row r="158">
          <cell r="K158">
            <v>1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1</v>
          </cell>
          <cell r="Q158">
            <v>1</v>
          </cell>
          <cell r="R158">
            <v>1</v>
          </cell>
          <cell r="S158">
            <v>1</v>
          </cell>
          <cell r="T158" t="str">
            <v>RTO - Current - Application Approved</v>
          </cell>
          <cell r="AA158" t="str">
            <v>31494</v>
          </cell>
          <cell r="AB158" t="str">
            <v>Jenmic Pty Ltd as Trustee for the MacNellie Family Trust</v>
          </cell>
          <cell r="AC158" t="str">
            <v>MacNellie's Workplace Safety</v>
          </cell>
          <cell r="AD158" t="str">
            <v>44 122 521 788</v>
          </cell>
          <cell r="AE158" t="str">
            <v>Mr Michael McNellie (CEO); Ms Jennifer MacNellie (Business Manager)</v>
          </cell>
          <cell r="AF158" t="str">
            <v>49 Condamine St</v>
          </cell>
          <cell r="AG158" t="str">
            <v>Dalby</v>
          </cell>
          <cell r="AH158" t="str">
            <v>4405</v>
          </cell>
          <cell r="AP158" t="str">
            <v>No</v>
          </cell>
        </row>
        <row r="159">
          <cell r="K159">
            <v>1</v>
          </cell>
          <cell r="L159">
            <v>1</v>
          </cell>
          <cell r="M159">
            <v>1</v>
          </cell>
          <cell r="N159">
            <v>1</v>
          </cell>
          <cell r="O159">
            <v>1</v>
          </cell>
          <cell r="P159">
            <v>1</v>
          </cell>
          <cell r="Q159">
            <v>1</v>
          </cell>
          <cell r="R159">
            <v>1</v>
          </cell>
          <cell r="S159">
            <v>1</v>
          </cell>
          <cell r="T159" t="str">
            <v>RTO - Current - Application Approved</v>
          </cell>
          <cell r="AA159" t="str">
            <v>1044</v>
          </cell>
          <cell r="AB159" t="str">
            <v>Skills Training And Placement People Inc</v>
          </cell>
          <cell r="AC159" t="str">
            <v>Rexcel Training</v>
          </cell>
          <cell r="AD159" t="str">
            <v>58 705 211 093</v>
          </cell>
          <cell r="AE159" t="str">
            <v>Mr. Chris Sharpe (Manager)</v>
          </cell>
          <cell r="AF159" t="str">
            <v>Level 1, 60 Waymouth St</v>
          </cell>
          <cell r="AG159" t="str">
            <v>Adelaide</v>
          </cell>
          <cell r="AH159" t="str">
            <v>5000</v>
          </cell>
          <cell r="AP159" t="str">
            <v>No</v>
          </cell>
        </row>
        <row r="160">
          <cell r="K160">
            <v>1</v>
          </cell>
          <cell r="L160">
            <v>1</v>
          </cell>
          <cell r="M160">
            <v>1</v>
          </cell>
          <cell r="N160">
            <v>1</v>
          </cell>
          <cell r="O160">
            <v>1</v>
          </cell>
          <cell r="P160">
            <v>1</v>
          </cell>
          <cell r="Q160">
            <v>1</v>
          </cell>
          <cell r="R160">
            <v>1</v>
          </cell>
          <cell r="S160">
            <v>1</v>
          </cell>
          <cell r="T160" t="str">
            <v>RTO - Current - Application Approved</v>
          </cell>
          <cell r="AA160" t="str">
            <v>1709</v>
          </cell>
          <cell r="AB160" t="str">
            <v>John &amp; Mary Ivanov Consolidated</v>
          </cell>
          <cell r="AC160" t="str">
            <v>North Queensland Security Training Academy</v>
          </cell>
          <cell r="AD160" t="str">
            <v>91 060 690 574</v>
          </cell>
          <cell r="AE160" t="str">
            <v>Mr John Ivanov</v>
          </cell>
          <cell r="AF160" t="str">
            <v>330 Bayswater Road</v>
          </cell>
          <cell r="AG160" t="str">
            <v>Garbutt</v>
          </cell>
          <cell r="AH160" t="str">
            <v>4814</v>
          </cell>
          <cell r="AP160" t="str">
            <v>No</v>
          </cell>
        </row>
        <row r="161">
          <cell r="K161">
            <v>1</v>
          </cell>
          <cell r="L161">
            <v>1</v>
          </cell>
          <cell r="M161">
            <v>1</v>
          </cell>
          <cell r="N161">
            <v>1</v>
          </cell>
          <cell r="O161">
            <v>1</v>
          </cell>
          <cell r="P161">
            <v>1</v>
          </cell>
          <cell r="Q161">
            <v>1</v>
          </cell>
          <cell r="R161">
            <v>1</v>
          </cell>
          <cell r="S161">
            <v>1</v>
          </cell>
          <cell r="T161" t="str">
            <v>RTO - Current - Application Approved</v>
          </cell>
          <cell r="AA161" t="str">
            <v>91413</v>
          </cell>
          <cell r="AB161" t="str">
            <v>Just Careers Training Pty Limited</v>
          </cell>
          <cell r="AC161" t="str">
            <v>Licences 4 work</v>
          </cell>
          <cell r="AD161" t="str">
            <v>35 126 432 817</v>
          </cell>
          <cell r="AE161" t="str">
            <v>Mr Nouhad Hebous (CEO); Mrs Misah (Macy) Alameddine (Manager)</v>
          </cell>
          <cell r="AF161" t="str">
            <v>Unit 3, 69 The Mall</v>
          </cell>
          <cell r="AG161" t="str">
            <v>Bankstown</v>
          </cell>
          <cell r="AH161" t="str">
            <v>2200</v>
          </cell>
          <cell r="AP161" t="str">
            <v>No</v>
          </cell>
        </row>
        <row r="162">
          <cell r="K162">
            <v>1</v>
          </cell>
          <cell r="L162">
            <v>1</v>
          </cell>
          <cell r="M162">
            <v>1</v>
          </cell>
          <cell r="N162">
            <v>1</v>
          </cell>
          <cell r="O162">
            <v>1</v>
          </cell>
          <cell r="P162">
            <v>1</v>
          </cell>
          <cell r="Q162">
            <v>1</v>
          </cell>
          <cell r="R162">
            <v>1</v>
          </cell>
          <cell r="S162">
            <v>1</v>
          </cell>
          <cell r="T162" t="str">
            <v>RTO - Terminated - ASQA Registration/Scope Ended</v>
          </cell>
          <cell r="AA162" t="str">
            <v>31940</v>
          </cell>
          <cell r="AB162" t="str">
            <v>JVR Enterprises Pty Ltd as Trustee for Training and Assessment Mentor Business Trust</v>
          </cell>
          <cell r="AC162" t="str">
            <v>Training&amp; Assessment Mentor</v>
          </cell>
          <cell r="AD162" t="str">
            <v>18 556 058 868</v>
          </cell>
          <cell r="AE162" t="str">
            <v>John Von Reuth</v>
          </cell>
          <cell r="AF162" t="str">
            <v>133 Sutton Street</v>
          </cell>
          <cell r="AG162" t="str">
            <v>Redcliffe</v>
          </cell>
          <cell r="AH162" t="str">
            <v>4020</v>
          </cell>
        </row>
        <row r="163">
          <cell r="T163" t="str">
            <v>RTO - Terminated by WHSQ</v>
          </cell>
          <cell r="AA163" t="str">
            <v>32180</v>
          </cell>
          <cell r="AB163" t="str">
            <v>K &amp; P Training Solutions Pty Ltd</v>
          </cell>
          <cell r="AC163" t="str">
            <v>Training Soultions 4 U</v>
          </cell>
          <cell r="AD163" t="str">
            <v>51 138 047 042</v>
          </cell>
          <cell r="AE163" t="str">
            <v>0404 063 160</v>
          </cell>
          <cell r="AF163" t="str">
            <v>Unit 13 / 50 Kellar St</v>
          </cell>
          <cell r="AG163" t="str">
            <v>Berrinba</v>
          </cell>
          <cell r="AH163" t="str">
            <v>4117</v>
          </cell>
        </row>
        <row r="164">
          <cell r="K164">
            <v>1</v>
          </cell>
          <cell r="L164">
            <v>1</v>
          </cell>
          <cell r="M164">
            <v>1</v>
          </cell>
          <cell r="N164">
            <v>1</v>
          </cell>
          <cell r="O164">
            <v>1</v>
          </cell>
          <cell r="P164">
            <v>1</v>
          </cell>
          <cell r="Q164">
            <v>1</v>
          </cell>
          <cell r="R164">
            <v>1</v>
          </cell>
          <cell r="S164">
            <v>1</v>
          </cell>
          <cell r="T164" t="str">
            <v>RTO - Current - Application Approved</v>
          </cell>
          <cell r="AA164" t="str">
            <v>31472</v>
          </cell>
          <cell r="AB164" t="str">
            <v>K J Pitt &amp; Associates Pty Ltd</v>
          </cell>
          <cell r="AC164" t="str">
            <v>Australian Safety &amp; Training Alliance</v>
          </cell>
          <cell r="AD164" t="str">
            <v>30 108 664 651</v>
          </cell>
          <cell r="AE164" t="str">
            <v>Mr Adrian Elliott Glasscock (CEO)</v>
          </cell>
          <cell r="AF164" t="str">
            <v>31 Enterprise Street</v>
          </cell>
          <cell r="AG164" t="str">
            <v>Bundaberg</v>
          </cell>
          <cell r="AH164" t="str">
            <v>4670</v>
          </cell>
          <cell r="AP164" t="str">
            <v>No</v>
          </cell>
        </row>
        <row r="165">
          <cell r="T165" t="str">
            <v>RTO - Terminated - ASQA Registration/Scope Ended</v>
          </cell>
          <cell r="AA165" t="str">
            <v>2973</v>
          </cell>
          <cell r="AB165" t="str">
            <v>Kase Enterprises Pty Ltd</v>
          </cell>
          <cell r="AC165" t="str">
            <v>N/A</v>
          </cell>
          <cell r="AD165" t="str">
            <v>53 079 729 141</v>
          </cell>
          <cell r="AE165" t="str">
            <v>Mr Steve Cusack</v>
          </cell>
          <cell r="AF165" t="str">
            <v>2/8-12 Nevilles Street</v>
          </cell>
          <cell r="AG165" t="str">
            <v>Underwood</v>
          </cell>
          <cell r="AH165" t="str">
            <v>4119</v>
          </cell>
        </row>
        <row r="166"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 t="str">
            <v>RTO - Terminated by RTO</v>
          </cell>
          <cell r="AA166" t="str">
            <v>45348</v>
          </cell>
          <cell r="AB166" t="str">
            <v>Keen Training Pty. Ltd.</v>
          </cell>
          <cell r="AC166" t="str">
            <v>N/A</v>
          </cell>
          <cell r="AD166" t="str">
            <v>16 615 582 039</v>
          </cell>
          <cell r="AE166" t="str">
            <v>Miss Lydia Elliott (CEO)</v>
          </cell>
          <cell r="AF166" t="str">
            <v>137 Bage Street</v>
          </cell>
          <cell r="AG166" t="str">
            <v>Nundah</v>
          </cell>
          <cell r="AH166" t="str">
            <v>4012</v>
          </cell>
          <cell r="AP166" t="str">
            <v>No</v>
          </cell>
        </row>
        <row r="167">
          <cell r="T167" t="str">
            <v>RTO - Terminated by WHSQ</v>
          </cell>
          <cell r="AA167" t="str">
            <v>107108</v>
          </cell>
          <cell r="AB167" t="str">
            <v>Kelaart Security Training Services Pty Ltd</v>
          </cell>
          <cell r="AC167" t="str">
            <v>Executive Training Group</v>
          </cell>
          <cell r="AD167" t="str">
            <v>72 089 148 327</v>
          </cell>
          <cell r="AE167" t="str">
            <v>Mr Christopher Ball</v>
          </cell>
          <cell r="AF167" t="str">
            <v>552 Hume St</v>
          </cell>
          <cell r="AG167" t="str">
            <v>Albury</v>
          </cell>
          <cell r="AH167" t="str">
            <v>2640</v>
          </cell>
        </row>
        <row r="168">
          <cell r="K168">
            <v>1</v>
          </cell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1</v>
          </cell>
          <cell r="Q168">
            <v>1</v>
          </cell>
          <cell r="R168">
            <v>1</v>
          </cell>
          <cell r="S168">
            <v>1</v>
          </cell>
          <cell r="T168" t="str">
            <v>RTO - Current - Application Approved</v>
          </cell>
          <cell r="AA168" t="str">
            <v>31911</v>
          </cell>
          <cell r="AB168" t="str">
            <v>Keys Human Resources Pty Ltd</v>
          </cell>
          <cell r="AC168" t="str">
            <v>N/A</v>
          </cell>
          <cell r="AD168" t="str">
            <v>28 112 868 158</v>
          </cell>
          <cell r="AE168" t="str">
            <v>Mr Stephen Keys (CEO); Mr Louis Trypas (General Manager)</v>
          </cell>
          <cell r="AF168" t="str">
            <v>41 Nundah St</v>
          </cell>
          <cell r="AG168" t="str">
            <v>Nundah</v>
          </cell>
          <cell r="AH168" t="str">
            <v>4012</v>
          </cell>
          <cell r="AP168" t="str">
            <v>No</v>
          </cell>
        </row>
        <row r="169">
          <cell r="K169">
            <v>1</v>
          </cell>
          <cell r="L169">
            <v>1</v>
          </cell>
          <cell r="M169">
            <v>1</v>
          </cell>
          <cell r="N169">
            <v>1</v>
          </cell>
          <cell r="O169">
            <v>1</v>
          </cell>
          <cell r="P169">
            <v>1</v>
          </cell>
          <cell r="Q169">
            <v>1</v>
          </cell>
          <cell r="R169">
            <v>1</v>
          </cell>
          <cell r="S169">
            <v>1</v>
          </cell>
          <cell r="T169" t="str">
            <v>RTO - Terminated by RTO</v>
          </cell>
          <cell r="AA169" t="str">
            <v>30386</v>
          </cell>
          <cell r="AB169" t="str">
            <v>Kingston State College</v>
          </cell>
          <cell r="AC169" t="str">
            <v>N/A</v>
          </cell>
          <cell r="AE169" t="str">
            <v>Laura Corr-Clements (CEO); Ms Judith Gallas (RTO Manager)</v>
          </cell>
          <cell r="AF169" t="str">
            <v>62-84 Bega Road</v>
          </cell>
          <cell r="AG169" t="str">
            <v>Kingston</v>
          </cell>
          <cell r="AH169" t="str">
            <v>4114</v>
          </cell>
        </row>
        <row r="170">
          <cell r="K170">
            <v>1</v>
          </cell>
          <cell r="L170">
            <v>1</v>
          </cell>
          <cell r="M170">
            <v>1</v>
          </cell>
          <cell r="N170">
            <v>1</v>
          </cell>
          <cell r="O170">
            <v>1</v>
          </cell>
          <cell r="P170">
            <v>1</v>
          </cell>
          <cell r="Q170">
            <v>1</v>
          </cell>
          <cell r="R170">
            <v>1</v>
          </cell>
          <cell r="S170">
            <v>1</v>
          </cell>
          <cell r="T170" t="str">
            <v>RTO - Terminated by RTO</v>
          </cell>
          <cell r="AA170" t="str">
            <v>91712</v>
          </cell>
          <cell r="AB170" t="str">
            <v>Kinsei Pty Ltd</v>
          </cell>
          <cell r="AC170" t="str">
            <v>Core Industry Training</v>
          </cell>
          <cell r="AD170" t="str">
            <v>35 847 941 538</v>
          </cell>
          <cell r="AE170" t="str">
            <v>Tim Harbison</v>
          </cell>
          <cell r="AF170" t="str">
            <v>18 Rawlins Street</v>
          </cell>
          <cell r="AG170" t="str">
            <v>Southport</v>
          </cell>
          <cell r="AH170" t="str">
            <v>4215</v>
          </cell>
        </row>
        <row r="171">
          <cell r="K171">
            <v>1</v>
          </cell>
          <cell r="L171">
            <v>1</v>
          </cell>
          <cell r="M171">
            <v>1</v>
          </cell>
          <cell r="N171">
            <v>1</v>
          </cell>
          <cell r="O171">
            <v>1</v>
          </cell>
          <cell r="P171">
            <v>1</v>
          </cell>
          <cell r="Q171">
            <v>1</v>
          </cell>
          <cell r="R171">
            <v>1</v>
          </cell>
          <cell r="S171">
            <v>1</v>
          </cell>
          <cell r="T171" t="str">
            <v>RTO - Current - Application Approved</v>
          </cell>
          <cell r="AA171" t="str">
            <v>30387</v>
          </cell>
          <cell r="AB171" t="str">
            <v>Kirwan State High School</v>
          </cell>
          <cell r="AC171" t="str">
            <v>N/A</v>
          </cell>
          <cell r="AD171" t="str">
            <v>37 574 965 472</v>
          </cell>
          <cell r="AE171" t="str">
            <v>Ms Heather Murray (Principal); Mr Shane Myers (RTO Manager)</v>
          </cell>
          <cell r="AF171" t="str">
            <v>64 Hudson Street</v>
          </cell>
          <cell r="AG171" t="str">
            <v>Thuringowa, Central Queensland</v>
          </cell>
          <cell r="AH171" t="str">
            <v>4817</v>
          </cell>
          <cell r="AP171" t="str">
            <v>Yes</v>
          </cell>
        </row>
        <row r="172">
          <cell r="K172">
            <v>1</v>
          </cell>
          <cell r="L172">
            <v>1</v>
          </cell>
          <cell r="M172">
            <v>1</v>
          </cell>
          <cell r="N172">
            <v>1</v>
          </cell>
          <cell r="O172">
            <v>1</v>
          </cell>
          <cell r="P172">
            <v>1</v>
          </cell>
          <cell r="Q172">
            <v>1</v>
          </cell>
          <cell r="R172">
            <v>1</v>
          </cell>
          <cell r="S172">
            <v>1</v>
          </cell>
          <cell r="T172" t="str">
            <v>RTO - Terminated by RTO</v>
          </cell>
          <cell r="AA172" t="str">
            <v>90996</v>
          </cell>
          <cell r="AB172" t="str">
            <v>Komatsu TA Pty Ltd</v>
          </cell>
          <cell r="AC172" t="str">
            <v>Komatsu Training Academy</v>
          </cell>
          <cell r="AD172" t="str">
            <v>71 143 476 626</v>
          </cell>
          <cell r="AE172" t="str">
            <v>Jackie Smollet (Compliace Officer); Ms Amanda MacLaren (Compliance Officer); Mr Colin Shaw (CEO)</v>
          </cell>
          <cell r="AF172" t="str">
            <v>453 Sherwood Rd</v>
          </cell>
          <cell r="AG172" t="str">
            <v>Sherwood</v>
          </cell>
          <cell r="AH172" t="str">
            <v>4075</v>
          </cell>
          <cell r="AP172" t="str">
            <v>No</v>
          </cell>
        </row>
        <row r="173">
          <cell r="T173" t="str">
            <v>RTO - Terminated by RTO</v>
          </cell>
          <cell r="AA173" t="str">
            <v>31474</v>
          </cell>
          <cell r="AB173" t="str">
            <v>Koolat Pty Ltd</v>
          </cell>
          <cell r="AC173" t="str">
            <v>Koolat Safety Pty Ltd</v>
          </cell>
          <cell r="AD173" t="str">
            <v>86 069 852 133</v>
          </cell>
          <cell r="AE173" t="str">
            <v>Mr Craig Eiszele</v>
          </cell>
          <cell r="AF173" t="str">
            <v>41 Caravel Lane</v>
          </cell>
          <cell r="AG173" t="str">
            <v>Docklands</v>
          </cell>
          <cell r="AH173" t="str">
            <v>3008</v>
          </cell>
        </row>
        <row r="174">
          <cell r="T174" t="str">
            <v>RTO - Terminated by RTO</v>
          </cell>
          <cell r="AA174" t="str">
            <v>6401</v>
          </cell>
          <cell r="AB174" t="str">
            <v>Krause Health and Safety Pty Ltd</v>
          </cell>
          <cell r="AC174" t="str">
            <v>N/A</v>
          </cell>
          <cell r="AD174" t="str">
            <v>23 074 905 445</v>
          </cell>
          <cell r="AE174" t="str">
            <v>Brian Cullen</v>
          </cell>
          <cell r="AF174" t="str">
            <v>5 Commercial Rd</v>
          </cell>
          <cell r="AG174" t="str">
            <v>Ryan</v>
          </cell>
          <cell r="AH174" t="str">
            <v>4825</v>
          </cell>
        </row>
        <row r="175"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 t="str">
            <v>RTO - Terminated - ASQA Registration/Scope Ended</v>
          </cell>
          <cell r="AA175" t="str">
            <v>41454</v>
          </cell>
          <cell r="AB175" t="str">
            <v>LA Grobler &amp; TJ Saayman</v>
          </cell>
          <cell r="AC175" t="str">
            <v>LT Training</v>
          </cell>
          <cell r="AD175" t="str">
            <v>12 437 871 029</v>
          </cell>
          <cell r="AE175" t="str">
            <v>Lourens Grobler</v>
          </cell>
          <cell r="AF175" t="str">
            <v>137 Towen Mountain Rd</v>
          </cell>
          <cell r="AG175" t="str">
            <v>Towen Mountain</v>
          </cell>
          <cell r="AH175" t="str">
            <v>4560</v>
          </cell>
        </row>
        <row r="176">
          <cell r="T176" t="str">
            <v>RTO - Terminated by RTO</v>
          </cell>
          <cell r="AA176" t="str">
            <v>2929</v>
          </cell>
          <cell r="AB176" t="str">
            <v>Ladtan Pty Ltd atf the Cassimaty Family Trust</v>
          </cell>
          <cell r="AC176" t="str">
            <v>Intraining System</v>
          </cell>
          <cell r="AD176" t="str">
            <v>69 451 609 009</v>
          </cell>
          <cell r="AE176" t="str">
            <v>Mr Anthony Cassimaty</v>
          </cell>
          <cell r="AF176" t="str">
            <v>229 Wights Mountain Road</v>
          </cell>
          <cell r="AG176" t="str">
            <v>Samford</v>
          </cell>
          <cell r="AH176" t="str">
            <v>4520</v>
          </cell>
        </row>
        <row r="177">
          <cell r="T177" t="str">
            <v>RTO - Terminated by RTO</v>
          </cell>
          <cell r="AA177" t="str">
            <v>31406</v>
          </cell>
          <cell r="AB177" t="str">
            <v>Learning Systems Australia Pty Ltd</v>
          </cell>
          <cell r="AC177" t="str">
            <v>N/A</v>
          </cell>
          <cell r="AD177" t="str">
            <v>63 108 348 947</v>
          </cell>
          <cell r="AE177" t="str">
            <v>Mr Wayne Smith</v>
          </cell>
          <cell r="AF177" t="str">
            <v>68 Rusty Court</v>
          </cell>
          <cell r="AG177" t="str">
            <v>Tallebudgera Valley</v>
          </cell>
          <cell r="AH177" t="str">
            <v>4228</v>
          </cell>
        </row>
        <row r="178">
          <cell r="T178" t="str">
            <v>RTO - Terminated by RTO</v>
          </cell>
          <cell r="AA178" t="str">
            <v>32368</v>
          </cell>
          <cell r="AB178" t="str">
            <v>Leichhardt Education and Training Pty Ltd</v>
          </cell>
          <cell r="AC178" t="str">
            <v>The 3 Amigos Enterprise Pty Ltd</v>
          </cell>
          <cell r="AD178" t="str">
            <v>94 129 298 559</v>
          </cell>
          <cell r="AE178" t="str">
            <v>Mr Ari Koskela</v>
          </cell>
          <cell r="AF178" t="str">
            <v>3 Gretel Drive</v>
          </cell>
          <cell r="AG178" t="str">
            <v>Mermaid Waters</v>
          </cell>
          <cell r="AH178" t="str">
            <v>4218</v>
          </cell>
        </row>
        <row r="179">
          <cell r="K179">
            <v>1</v>
          </cell>
          <cell r="L179">
            <v>1</v>
          </cell>
          <cell r="M179">
            <v>1</v>
          </cell>
          <cell r="N179">
            <v>1</v>
          </cell>
          <cell r="O179">
            <v>1</v>
          </cell>
          <cell r="P179">
            <v>1</v>
          </cell>
          <cell r="Q179">
            <v>1</v>
          </cell>
          <cell r="R179">
            <v>1</v>
          </cell>
          <cell r="S179">
            <v>1</v>
          </cell>
          <cell r="T179" t="str">
            <v>RTO - Current - Application Approved</v>
          </cell>
          <cell r="AA179" t="str">
            <v>31198</v>
          </cell>
          <cell r="AB179" t="str">
            <v>Leslie Harry Hunter</v>
          </cell>
          <cell r="AC179" t="str">
            <v>Accredited Skills Provider (ASP)</v>
          </cell>
          <cell r="AD179" t="str">
            <v>78 648 722 609</v>
          </cell>
          <cell r="AE179" t="str">
            <v>Mr Leslie Hunter</v>
          </cell>
          <cell r="AF179" t="str">
            <v>Unit 6/ 38 Johnson St</v>
          </cell>
          <cell r="AG179" t="str">
            <v>Southport</v>
          </cell>
          <cell r="AH179" t="str">
            <v>4215</v>
          </cell>
        </row>
        <row r="180">
          <cell r="K180">
            <v>1</v>
          </cell>
          <cell r="L180">
            <v>1</v>
          </cell>
          <cell r="M180">
            <v>1</v>
          </cell>
          <cell r="N180">
            <v>1</v>
          </cell>
          <cell r="O180">
            <v>1</v>
          </cell>
          <cell r="P180">
            <v>1</v>
          </cell>
          <cell r="Q180">
            <v>1</v>
          </cell>
          <cell r="R180">
            <v>1</v>
          </cell>
          <cell r="S180">
            <v>1</v>
          </cell>
          <cell r="T180" t="str">
            <v>RTO - Current - Application Approved</v>
          </cell>
          <cell r="AA180" t="str">
            <v>41179</v>
          </cell>
          <cell r="AB180" t="str">
            <v>LET Training and Consultation Services Pty. Ltd.</v>
          </cell>
          <cell r="AC180" t="str">
            <v>LET Training</v>
          </cell>
          <cell r="AD180" t="str">
            <v>91 602 026 540</v>
          </cell>
          <cell r="AE180" t="str">
            <v>Ms Xiaoli (Lily) Li (CEO)</v>
          </cell>
          <cell r="AF180" t="str">
            <v>Suite 2 Level 4 17-21 Hunter St</v>
          </cell>
          <cell r="AG180" t="str">
            <v>Parramatta</v>
          </cell>
          <cell r="AH180" t="str">
            <v>2150</v>
          </cell>
          <cell r="AP180" t="str">
            <v>No</v>
          </cell>
        </row>
        <row r="181">
          <cell r="T181" t="str">
            <v>RTO - Terminated by RTO</v>
          </cell>
          <cell r="AA181" t="str">
            <v>31521</v>
          </cell>
          <cell r="AB181" t="str">
            <v>Lifting Skills Pty Ltd</v>
          </cell>
          <cell r="AC181" t="str">
            <v>N/A</v>
          </cell>
          <cell r="AD181" t="str">
            <v>44 110 808 378</v>
          </cell>
          <cell r="AE181" t="str">
            <v>N/A</v>
          </cell>
          <cell r="AF181" t="str">
            <v>460-492 Beaudesert Road</v>
          </cell>
          <cell r="AG181" t="str">
            <v>Salisbury</v>
          </cell>
          <cell r="AH181" t="str">
            <v>4107</v>
          </cell>
        </row>
        <row r="182">
          <cell r="K182">
            <v>1</v>
          </cell>
          <cell r="L182">
            <v>1</v>
          </cell>
          <cell r="M182">
            <v>1</v>
          </cell>
          <cell r="N182">
            <v>1</v>
          </cell>
          <cell r="O182">
            <v>1</v>
          </cell>
          <cell r="P182">
            <v>1</v>
          </cell>
          <cell r="Q182">
            <v>1</v>
          </cell>
          <cell r="R182">
            <v>1</v>
          </cell>
          <cell r="S182">
            <v>1</v>
          </cell>
          <cell r="T182" t="str">
            <v>RTO - Terminated by RTO</v>
          </cell>
          <cell r="AA182" t="str">
            <v>31520</v>
          </cell>
          <cell r="AB182" t="str">
            <v>Lindana Pty Ltd  </v>
          </cell>
          <cell r="AC182" t="str">
            <v>LD Training</v>
          </cell>
          <cell r="AD182" t="str">
            <v>29 142 719 471</v>
          </cell>
          <cell r="AE182" t="str">
            <v>Stana Dillon</v>
          </cell>
          <cell r="AF182" t="str">
            <v>9-11 Kicks Street</v>
          </cell>
          <cell r="AG182" t="str">
            <v>Emerald</v>
          </cell>
          <cell r="AH182" t="str">
            <v>4720</v>
          </cell>
        </row>
        <row r="183">
          <cell r="K183">
            <v>43959</v>
          </cell>
          <cell r="L183">
            <v>1</v>
          </cell>
          <cell r="M183">
            <v>1</v>
          </cell>
          <cell r="N183">
            <v>1</v>
          </cell>
          <cell r="O183">
            <v>43980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 t="str">
            <v>RTO - Current - Application Approved</v>
          </cell>
          <cell r="AA183" t="str">
            <v>45483</v>
          </cell>
          <cell r="AB183" t="str">
            <v>Link Resources Training Pty Ltd</v>
          </cell>
          <cell r="AC183" t="str">
            <v>Link Resources Pty Ltd</v>
          </cell>
          <cell r="AD183" t="str">
            <v>28 625 879 709</v>
          </cell>
          <cell r="AE183" t="str">
            <v>Ms Tiffany Irving (Director); Ms Angela Bradby (CEO)</v>
          </cell>
          <cell r="AF183" t="str">
            <v>10 Technology Dr</v>
          </cell>
          <cell r="AG183" t="str">
            <v>Warana</v>
          </cell>
          <cell r="AH183" t="str">
            <v>4575</v>
          </cell>
          <cell r="AP183" t="str">
            <v>No</v>
          </cell>
        </row>
        <row r="184">
          <cell r="T184" t="str">
            <v>RTO - Terminated by RTO</v>
          </cell>
          <cell r="AA184" t="str">
            <v>91542</v>
          </cell>
          <cell r="AB184" t="str">
            <v>Live and Learn Pty Ltd</v>
          </cell>
          <cell r="AC184" t="str">
            <v>N/A</v>
          </cell>
          <cell r="AD184" t="str">
            <v>17 124 831 750</v>
          </cell>
          <cell r="AE184" t="str">
            <v>Mr Leo Ziade</v>
          </cell>
          <cell r="AF184" t="str">
            <v>Suite 11, 166 Maroubra Road</v>
          </cell>
          <cell r="AG184" t="str">
            <v>Maroubra</v>
          </cell>
          <cell r="AH184" t="str">
            <v>2035</v>
          </cell>
        </row>
        <row r="185">
          <cell r="K185">
            <v>1</v>
          </cell>
          <cell r="L185">
            <v>1</v>
          </cell>
          <cell r="M185">
            <v>1</v>
          </cell>
          <cell r="N185">
            <v>1</v>
          </cell>
          <cell r="O185">
            <v>1</v>
          </cell>
          <cell r="P185">
            <v>1</v>
          </cell>
          <cell r="Q185">
            <v>1</v>
          </cell>
          <cell r="R185">
            <v>1</v>
          </cell>
          <cell r="S185">
            <v>1</v>
          </cell>
          <cell r="T185" t="str">
            <v>RTO - Terminated by WHSQ</v>
          </cell>
          <cell r="AA185" t="str">
            <v>31735</v>
          </cell>
          <cell r="AB185" t="str">
            <v>Logisafe Pty Ltd</v>
          </cell>
          <cell r="AC185" t="str">
            <v>N/A</v>
          </cell>
          <cell r="AD185" t="str">
            <v>99 003 895 921</v>
          </cell>
          <cell r="AE185" t="str">
            <v>Ms Brenda Grant</v>
          </cell>
          <cell r="AF185" t="str">
            <v>24 Pleasant Dr</v>
          </cell>
          <cell r="AG185" t="str">
            <v>Sharon</v>
          </cell>
          <cell r="AH185" t="str">
            <v>4670</v>
          </cell>
        </row>
        <row r="186">
          <cell r="T186" t="str">
            <v>RTO - Terminated by RTO</v>
          </cell>
          <cell r="AA186" t="str">
            <v>31827</v>
          </cell>
          <cell r="AB186" t="str">
            <v>Look Now Pty Ltd</v>
          </cell>
          <cell r="AC186" t="str">
            <v>N/A</v>
          </cell>
          <cell r="AD186" t="str">
            <v>37 128 614 540</v>
          </cell>
          <cell r="AE186" t="str">
            <v>Mr Tim Robson</v>
          </cell>
          <cell r="AF186" t="str">
            <v>Lvl 1, 100 Sportsmans Parade</v>
          </cell>
          <cell r="AG186" t="str">
            <v>Bokarina</v>
          </cell>
          <cell r="AH186" t="str">
            <v>4575</v>
          </cell>
        </row>
        <row r="187">
          <cell r="T187" t="str">
            <v>RTO - Terminated by WHSQ</v>
          </cell>
          <cell r="AA187" t="str">
            <v>30392</v>
          </cell>
          <cell r="AB187" t="str">
            <v>Lowood State High School</v>
          </cell>
          <cell r="AC187" t="str">
            <v>N/A</v>
          </cell>
          <cell r="AD187" t="str">
            <v>68 047 979 616</v>
          </cell>
          <cell r="AE187" t="str">
            <v>Mrs Anne McLaughlan</v>
          </cell>
          <cell r="AF187" t="str">
            <v>Prospect Street</v>
          </cell>
          <cell r="AG187" t="str">
            <v>LOWOOD</v>
          </cell>
          <cell r="AH187" t="str">
            <v>4311</v>
          </cell>
        </row>
        <row r="188">
          <cell r="T188" t="str">
            <v>RTO - Terminated by RTO</v>
          </cell>
          <cell r="AA188" t="str">
            <v>40746</v>
          </cell>
          <cell r="AB188" t="str">
            <v>Lucky Beans Pty Ltd</v>
          </cell>
          <cell r="AC188" t="str">
            <v>The Learning Team</v>
          </cell>
          <cell r="AD188" t="str">
            <v>13 160 557 219</v>
          </cell>
          <cell r="AE188" t="str">
            <v>Mr Guy Halliday</v>
          </cell>
          <cell r="AF188" t="str">
            <v>72-116 Paradise Road</v>
          </cell>
          <cell r="AG188" t="str">
            <v>Slacks Creek</v>
          </cell>
          <cell r="AH188" t="str">
            <v>4127</v>
          </cell>
        </row>
        <row r="189">
          <cell r="K189">
            <v>1</v>
          </cell>
          <cell r="L189">
            <v>1</v>
          </cell>
          <cell r="M189">
            <v>1</v>
          </cell>
          <cell r="N189">
            <v>1</v>
          </cell>
          <cell r="O189">
            <v>1</v>
          </cell>
          <cell r="P189">
            <v>1</v>
          </cell>
          <cell r="Q189">
            <v>1</v>
          </cell>
          <cell r="R189">
            <v>1</v>
          </cell>
          <cell r="S189">
            <v>1</v>
          </cell>
          <cell r="T189" t="str">
            <v>RTO - Terminated by RTO</v>
          </cell>
          <cell r="AA189" t="str">
            <v>30698</v>
          </cell>
          <cell r="AB189" t="str">
            <v>Lutheran Church of Australia Qld District</v>
          </cell>
          <cell r="AC189" t="str">
            <v>Faith Lutheran College</v>
          </cell>
          <cell r="AD189" t="str">
            <v>91 233 584 761</v>
          </cell>
          <cell r="AE189" t="str">
            <v>Mr Doug Braiden (CEO); Mrs Kate Munro (VET Manager); Mr Kevin Abraham (VET Manager)</v>
          </cell>
          <cell r="AF189" t="str">
            <v>5 Faith Avenue</v>
          </cell>
          <cell r="AG189" t="str">
            <v>Plainland</v>
          </cell>
          <cell r="AH189" t="str">
            <v>4341</v>
          </cell>
          <cell r="AP189" t="str">
            <v>Yes</v>
          </cell>
        </row>
        <row r="190">
          <cell r="K190">
            <v>1</v>
          </cell>
          <cell r="L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 t="str">
            <v>RTO - Current - Application Approved</v>
          </cell>
          <cell r="AA190" t="str">
            <v>32438</v>
          </cell>
          <cell r="AB190" t="str">
            <v>Everthought Education Pty Ltd</v>
          </cell>
          <cell r="AC190" t="str">
            <v>N/A</v>
          </cell>
          <cell r="AD190" t="str">
            <v>65 114 892 509</v>
          </cell>
          <cell r="AE190" t="str">
            <v>Mr Michael Wallace (CEO); Ms Guneet Khurana (Compliance Manager)</v>
          </cell>
          <cell r="AF190" t="str">
            <v>4/460-492 Beaudesert Road</v>
          </cell>
          <cell r="AG190" t="str">
            <v>Moorooka</v>
          </cell>
          <cell r="AH190" t="str">
            <v>4105</v>
          </cell>
          <cell r="AP190" t="str">
            <v>No</v>
          </cell>
        </row>
        <row r="191">
          <cell r="T191" t="str">
            <v>RTO - Terminated by WHSQ</v>
          </cell>
          <cell r="AA191" t="str">
            <v>30074</v>
          </cell>
          <cell r="AB191" t="str">
            <v>Mabel Park State High School</v>
          </cell>
          <cell r="AC191" t="str">
            <v>N/A</v>
          </cell>
          <cell r="AD191" t="str">
            <v>19 782 297 608</v>
          </cell>
          <cell r="AE191" t="str">
            <v>Ms Judy Fewtrell</v>
          </cell>
          <cell r="AF191" t="str">
            <v>72-116 Paradise Road</v>
          </cell>
          <cell r="AG191" t="str">
            <v>Slacks Creek</v>
          </cell>
          <cell r="AH191" t="str">
            <v>4127</v>
          </cell>
        </row>
        <row r="192">
          <cell r="T192" t="str">
            <v>RTO - Terminated by RTO</v>
          </cell>
          <cell r="AA192" t="str">
            <v>90791</v>
          </cell>
          <cell r="AB192" t="str">
            <v>Map Training Pty Ltd</v>
          </cell>
          <cell r="AC192" t="str">
            <v>N/A</v>
          </cell>
          <cell r="AD192" t="str">
            <v>68 071 321 732</v>
          </cell>
          <cell r="AE192" t="str">
            <v>Kirralee Eade</v>
          </cell>
          <cell r="AF192" t="str">
            <v>1, 7 Elswick Place</v>
          </cell>
          <cell r="AG192" t="str">
            <v>Coffs Harbour</v>
          </cell>
          <cell r="AH192" t="str">
            <v>2450</v>
          </cell>
        </row>
        <row r="193">
          <cell r="T193" t="str">
            <v>RTO - Terminated by RTO</v>
          </cell>
          <cell r="AA193" t="str">
            <v>30117</v>
          </cell>
          <cell r="AB193" t="str">
            <v>Marsden State High School</v>
          </cell>
          <cell r="AC193" t="str">
            <v>N/A</v>
          </cell>
          <cell r="AD193" t="str">
            <v>54 248 523 684</v>
          </cell>
          <cell r="AE193" t="str">
            <v>Mr Alan Jones</v>
          </cell>
          <cell r="AF193" t="str">
            <v>106-130 Muchow Road</v>
          </cell>
          <cell r="AG193" t="str">
            <v>Waterford</v>
          </cell>
          <cell r="AH193" t="str">
            <v>4133</v>
          </cell>
        </row>
        <row r="194">
          <cell r="K194">
            <v>1</v>
          </cell>
          <cell r="L194">
            <v>1</v>
          </cell>
          <cell r="M194">
            <v>1</v>
          </cell>
          <cell r="N194">
            <v>1</v>
          </cell>
          <cell r="O194">
            <v>1</v>
          </cell>
          <cell r="P194">
            <v>1</v>
          </cell>
          <cell r="Q194">
            <v>1</v>
          </cell>
          <cell r="R194">
            <v>1</v>
          </cell>
          <cell r="S194">
            <v>1</v>
          </cell>
          <cell r="T194" t="str">
            <v>RTO - Current - Application Approved</v>
          </cell>
          <cell r="AA194" t="str">
            <v>31279</v>
          </cell>
          <cell r="AB194" t="str">
            <v>Martyr Training Services Pty Ltd</v>
          </cell>
          <cell r="AC194" t="str">
            <v>N/A</v>
          </cell>
          <cell r="AD194" t="str">
            <v>77 016 487 882</v>
          </cell>
          <cell r="AE194" t="str">
            <v>Mr John Martyr (CEO); Ms Lorena Martyr (CEO)</v>
          </cell>
          <cell r="AF194" t="str">
            <v>64 Duches Rd</v>
          </cell>
          <cell r="AG194" t="str">
            <v>Mount Isa</v>
          </cell>
          <cell r="AH194" t="str">
            <v>4825</v>
          </cell>
          <cell r="AP194" t="str">
            <v>No</v>
          </cell>
        </row>
        <row r="195">
          <cell r="K195">
            <v>1</v>
          </cell>
          <cell r="L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 t="str">
            <v>RTO - Current - Application Approved</v>
          </cell>
          <cell r="AA195" t="str">
            <v>31372</v>
          </cell>
          <cell r="AB195" t="str">
            <v>Masimo Holding Pty Limited</v>
          </cell>
          <cell r="AC195" t="str">
            <v>New Horizons Safety and Training Services</v>
          </cell>
          <cell r="AD195" t="str">
            <v>23 101 841 525</v>
          </cell>
          <cell r="AE195" t="str">
            <v>Mr Gregory McMillan (CEO); Ms Ashleigh McMillan (Business Manager)</v>
          </cell>
          <cell r="AF195" t="str">
            <v>188 East Street</v>
          </cell>
          <cell r="AG195" t="str">
            <v>Rockhampton</v>
          </cell>
          <cell r="AH195" t="str">
            <v>4700</v>
          </cell>
          <cell r="AP195" t="str">
            <v>No</v>
          </cell>
        </row>
        <row r="196">
          <cell r="T196" t="str">
            <v>RTO - Terminated - ASQA Registration/Scope Ended</v>
          </cell>
          <cell r="AA196" t="str">
            <v>31087</v>
          </cell>
          <cell r="AB196" t="str">
            <v>McLeod Training Organisation Pty Ltd</v>
          </cell>
          <cell r="AC196" t="str">
            <v>N/A</v>
          </cell>
          <cell r="AD196" t="str">
            <v>95 502 295 658</v>
          </cell>
          <cell r="AE196" t="str">
            <v>Mr Ian McLeod</v>
          </cell>
          <cell r="AF196" t="str">
            <v>Unit 3/37 Anderson Street</v>
          </cell>
          <cell r="AG196" t="str">
            <v>Manunda</v>
          </cell>
          <cell r="AH196" t="str">
            <v>4870</v>
          </cell>
        </row>
        <row r="197">
          <cell r="K197">
            <v>1</v>
          </cell>
          <cell r="L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 t="str">
            <v>RTO - Terminated by RTO</v>
          </cell>
          <cell r="AA197" t="str">
            <v>31561</v>
          </cell>
          <cell r="AB197" t="str">
            <v>Mears Construction and Training Pty Ltd</v>
          </cell>
          <cell r="AC197" t="str">
            <v>Mears Construction and Training Pty Ltd</v>
          </cell>
          <cell r="AD197" t="str">
            <v>89 115 553 118</v>
          </cell>
          <cell r="AE197" t="str">
            <v>Mr Gordon Arthur Mears (CEO); Ms Cassie Mears (Manager)</v>
          </cell>
          <cell r="AF197" t="str">
            <v>Lot 1, Hynes Street</v>
          </cell>
          <cell r="AG197" t="str">
            <v>Johnstone South</v>
          </cell>
          <cell r="AH197" t="str">
            <v>4859</v>
          </cell>
          <cell r="AP197" t="str">
            <v>No</v>
          </cell>
        </row>
        <row r="198">
          <cell r="T198" t="str">
            <v>RTO - Terminated by WHSQ</v>
          </cell>
          <cell r="AA198" t="str">
            <v>30979</v>
          </cell>
          <cell r="AB198" t="str">
            <v>Meee Australia Pty Ltd</v>
          </cell>
          <cell r="AC198" t="str">
            <v>Building Trades Australia</v>
          </cell>
          <cell r="AD198" t="str">
            <v>48 103 867 901</v>
          </cell>
          <cell r="AE198" t="str">
            <v>Ms Mandy Roe</v>
          </cell>
          <cell r="AF198" t="str">
            <v>Level 2, 63 Adelaide Street</v>
          </cell>
          <cell r="AG198" t="str">
            <v>Brisbane</v>
          </cell>
          <cell r="AH198" t="str">
            <v>4000</v>
          </cell>
        </row>
        <row r="199">
          <cell r="K199">
            <v>1</v>
          </cell>
          <cell r="L199">
            <v>1</v>
          </cell>
          <cell r="M199">
            <v>1</v>
          </cell>
          <cell r="N199">
            <v>1</v>
          </cell>
          <cell r="O199">
            <v>1</v>
          </cell>
          <cell r="P199">
            <v>1</v>
          </cell>
          <cell r="Q199">
            <v>1</v>
          </cell>
          <cell r="R199">
            <v>1</v>
          </cell>
          <cell r="S199">
            <v>1</v>
          </cell>
          <cell r="T199" t="str">
            <v>RTO - Current - Application Approved</v>
          </cell>
          <cell r="AA199" t="str">
            <v>30660</v>
          </cell>
          <cell r="AB199" t="str">
            <v>Michael Robert Bakhash</v>
          </cell>
          <cell r="AC199" t="str">
            <v>Bakhash Safety</v>
          </cell>
          <cell r="AD199" t="str">
            <v>23 963 307 473</v>
          </cell>
          <cell r="AE199" t="str">
            <v>Mr Michael Bakhash (CEO); Mrs Lisa Reddicliffe (Manager)</v>
          </cell>
          <cell r="AF199" t="str">
            <v>10 Millen Cres</v>
          </cell>
          <cell r="AG199" t="str">
            <v>Mount Isa</v>
          </cell>
          <cell r="AH199" t="str">
            <v>4825</v>
          </cell>
          <cell r="AP199" t="str">
            <v>No</v>
          </cell>
        </row>
        <row r="200"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 t="str">
            <v>RTO - Current - Application Approved</v>
          </cell>
          <cell r="AA200" t="str">
            <v>40928</v>
          </cell>
          <cell r="AB200" t="str">
            <v>MiHaven Pty. Ltd.</v>
          </cell>
          <cell r="AC200" t="str">
            <v>MiHaven Training</v>
          </cell>
          <cell r="AD200" t="str">
            <v>72 149 776 401</v>
          </cell>
          <cell r="AE200" t="str">
            <v>Ms Kris Hunt (Training Operations Manager); Mr James Mort (CEO)</v>
          </cell>
          <cell r="AF200" t="str">
            <v>5 Palm Ave</v>
          </cell>
          <cell r="AG200" t="str">
            <v>Paramatta Park</v>
          </cell>
          <cell r="AH200" t="str">
            <v>4870</v>
          </cell>
          <cell r="AP200" t="str">
            <v>No</v>
          </cell>
        </row>
        <row r="201">
          <cell r="K201">
            <v>1</v>
          </cell>
          <cell r="L201">
            <v>1</v>
          </cell>
          <cell r="M201">
            <v>1</v>
          </cell>
          <cell r="N201">
            <v>1</v>
          </cell>
          <cell r="O201">
            <v>1</v>
          </cell>
          <cell r="P201">
            <v>1</v>
          </cell>
          <cell r="Q201">
            <v>1</v>
          </cell>
          <cell r="R201">
            <v>1</v>
          </cell>
          <cell r="S201">
            <v>1</v>
          </cell>
          <cell r="T201" t="str">
            <v>RTO - Current - Application Approved</v>
          </cell>
          <cell r="AA201" t="str">
            <v>6859</v>
          </cell>
          <cell r="AB201" t="str">
            <v>Milcom Communications Pty Ltd</v>
          </cell>
          <cell r="AC201" t="str">
            <v>Milcom Institute</v>
          </cell>
          <cell r="AD201" t="str">
            <v>59 078 820 774</v>
          </cell>
          <cell r="AE201" t="str">
            <v>Mr Ashish Chadha (CEO); Ms Shivani Nayak (State Manager)</v>
          </cell>
          <cell r="AF201" t="str">
            <v>Unit 12, 1866 Princes Hwy</v>
          </cell>
          <cell r="AG201" t="str">
            <v>Clayton</v>
          </cell>
          <cell r="AH201" t="str">
            <v>3168</v>
          </cell>
          <cell r="AP201" t="str">
            <v>No</v>
          </cell>
        </row>
        <row r="202">
          <cell r="K202">
            <v>1</v>
          </cell>
          <cell r="L202">
            <v>1</v>
          </cell>
          <cell r="M202">
            <v>1</v>
          </cell>
          <cell r="N202">
            <v>1</v>
          </cell>
          <cell r="O202">
            <v>1</v>
          </cell>
          <cell r="P202">
            <v>1</v>
          </cell>
          <cell r="Q202">
            <v>1</v>
          </cell>
          <cell r="R202">
            <v>1</v>
          </cell>
          <cell r="S202">
            <v>1</v>
          </cell>
          <cell r="T202" t="str">
            <v>RTO - Current - Application Approved</v>
          </cell>
          <cell r="AA202" t="str">
            <v>40727</v>
          </cell>
          <cell r="AB202" t="str">
            <v>MinRes Training Institute Pty Ltd</v>
          </cell>
          <cell r="AC202" t="str">
            <v>N/A</v>
          </cell>
          <cell r="AD202" t="str">
            <v>90 138 694 989</v>
          </cell>
          <cell r="AE202" t="str">
            <v>Ms Leigh Willson (CEO)</v>
          </cell>
          <cell r="AF202" t="str">
            <v>12/148 Ferny Way</v>
          </cell>
          <cell r="AG202" t="str">
            <v>Ferny Hills</v>
          </cell>
          <cell r="AH202" t="str">
            <v>4055</v>
          </cell>
          <cell r="AP202" t="str">
            <v>No</v>
          </cell>
        </row>
        <row r="203">
          <cell r="T203" t="str">
            <v>RTO - Terminated by RTO</v>
          </cell>
          <cell r="AA203" t="str">
            <v>30403</v>
          </cell>
          <cell r="AB203" t="str">
            <v>Morayfield State High School</v>
          </cell>
          <cell r="AC203" t="str">
            <v>N/A</v>
          </cell>
          <cell r="AD203" t="str">
            <v>71 175 096 332</v>
          </cell>
          <cell r="AE203" t="str">
            <v>Ms Janelle Amos</v>
          </cell>
          <cell r="AF203" t="str">
            <v>Visentin Road</v>
          </cell>
          <cell r="AG203" t="str">
            <v>Morayfield</v>
          </cell>
          <cell r="AH203" t="str">
            <v>4506</v>
          </cell>
        </row>
        <row r="204">
          <cell r="T204" t="str">
            <v>RTO - Terminated by RTO</v>
          </cell>
          <cell r="AA204" t="str">
            <v>30146</v>
          </cell>
          <cell r="AB204" t="str">
            <v>MRWED Training and Assessment</v>
          </cell>
          <cell r="AC204" t="str">
            <v>N/A</v>
          </cell>
          <cell r="AE204" t="str">
            <v>n/a</v>
          </cell>
          <cell r="AF204" t="str">
            <v>N/A</v>
          </cell>
          <cell r="AG204" t="str">
            <v>N/A</v>
          </cell>
          <cell r="AH204" t="str">
            <v>0000</v>
          </cell>
        </row>
        <row r="205">
          <cell r="T205" t="str">
            <v>RTO - Terminated - ASQA Registration/Scope Ended</v>
          </cell>
          <cell r="AA205" t="str">
            <v>40671</v>
          </cell>
          <cell r="AB205" t="str">
            <v>M-SEC ITS Pty Ltd</v>
          </cell>
          <cell r="AC205" t="str">
            <v>N/A</v>
          </cell>
          <cell r="AD205" t="str">
            <v>67 143 464 895</v>
          </cell>
          <cell r="AE205" t="str">
            <v>Mr Marc Lichtenfeld</v>
          </cell>
          <cell r="AF205" t="str">
            <v>12 Exploration Way</v>
          </cell>
          <cell r="AG205" t="str">
            <v>Edmonton</v>
          </cell>
          <cell r="AH205" t="str">
            <v>4869</v>
          </cell>
        </row>
        <row r="206">
          <cell r="K206">
            <v>1</v>
          </cell>
          <cell r="L206">
            <v>1</v>
          </cell>
          <cell r="M206">
            <v>1</v>
          </cell>
          <cell r="N206">
            <v>1</v>
          </cell>
          <cell r="O206">
            <v>1</v>
          </cell>
          <cell r="P206">
            <v>1</v>
          </cell>
          <cell r="Q206">
            <v>1</v>
          </cell>
          <cell r="R206">
            <v>1</v>
          </cell>
          <cell r="S206">
            <v>1</v>
          </cell>
          <cell r="T206" t="str">
            <v>RTO - Terminated by RTO</v>
          </cell>
          <cell r="AA206" t="str">
            <v>32493</v>
          </cell>
          <cell r="AB206" t="str">
            <v>MTO Group Pty Ltd</v>
          </cell>
          <cell r="AC206" t="str">
            <v>HS Business School</v>
          </cell>
          <cell r="AD206" t="str">
            <v>16 142 642 457</v>
          </cell>
          <cell r="AE206" t="str">
            <v>Mr Warren Dennis</v>
          </cell>
          <cell r="AF206" t="str">
            <v>Unit 4/36 Pritchard Road</v>
          </cell>
          <cell r="AG206" t="str">
            <v>Virginia</v>
          </cell>
          <cell r="AH206" t="str">
            <v>4014</v>
          </cell>
        </row>
        <row r="207">
          <cell r="T207" t="str">
            <v>RTO - Terminated by RTO</v>
          </cell>
          <cell r="AA207" t="str">
            <v>2510</v>
          </cell>
          <cell r="AB207" t="str">
            <v>MW Training Consultants Pty Ltd as trustee for the Morgan-Williams Family Trust</v>
          </cell>
          <cell r="AC207" t="str">
            <v>N/A</v>
          </cell>
          <cell r="AD207" t="str">
            <v>56 744 757 110</v>
          </cell>
          <cell r="AE207" t="str">
            <v>Ms Michelle Lobban</v>
          </cell>
          <cell r="AF207" t="str">
            <v>Shop 6, 141 Sutton St</v>
          </cell>
          <cell r="AG207" t="str">
            <v>Redcliffe</v>
          </cell>
          <cell r="AH207" t="str">
            <v>4020</v>
          </cell>
        </row>
        <row r="208">
          <cell r="T208" t="str">
            <v>RTO - Terminated by RTO</v>
          </cell>
          <cell r="AA208" t="str">
            <v>30755</v>
          </cell>
          <cell r="AB208" t="str">
            <v>MWTC Pty Ltd</v>
          </cell>
          <cell r="AC208" t="str">
            <v>Australian Business and Retail Academy (Qld)</v>
          </cell>
          <cell r="AD208" t="str">
            <v>89 088 261 821</v>
          </cell>
          <cell r="AE208" t="str">
            <v>Mr Sean Gallagher</v>
          </cell>
          <cell r="AF208" t="str">
            <v>Level 21, 345 Queen Street</v>
          </cell>
          <cell r="AG208" t="str">
            <v>Brisbane</v>
          </cell>
          <cell r="AH208" t="str">
            <v>4001</v>
          </cell>
        </row>
        <row r="209">
          <cell r="K209">
            <v>1</v>
          </cell>
          <cell r="L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 t="str">
            <v>RTO - Current - Application Approved</v>
          </cell>
          <cell r="AA209" t="str">
            <v>31588</v>
          </cell>
          <cell r="AB209" t="str">
            <v>Neil Irvine Management Pty Ltd as Trustee for The Irvine Family Trust</v>
          </cell>
          <cell r="AC209" t="str">
            <v>APS Training Group</v>
          </cell>
          <cell r="AD209" t="str">
            <v>28 764 731 951</v>
          </cell>
          <cell r="AE209" t="str">
            <v>Mr Neil Irvine (CEO); Ms Jean Pilcher (Administration)</v>
          </cell>
          <cell r="AF209" t="str">
            <v>Shop 5/15 Aviation Crescent</v>
          </cell>
          <cell r="AG209" t="str">
            <v>Kensington</v>
          </cell>
          <cell r="AH209" t="str">
            <v>4670</v>
          </cell>
          <cell r="AP209" t="str">
            <v>No</v>
          </cell>
        </row>
        <row r="210">
          <cell r="T210" t="str">
            <v>RTO - Terminated - ASQA Registration/Scope Ended</v>
          </cell>
          <cell r="AA210" t="str">
            <v>31943</v>
          </cell>
          <cell r="AB210" t="str">
            <v>New England Institute of Technology Pty Ltd</v>
          </cell>
          <cell r="AC210" t="str">
            <v>New England College</v>
          </cell>
          <cell r="AD210" t="str">
            <v>40 135 331 494</v>
          </cell>
          <cell r="AE210" t="str">
            <v>Mr Matthew Skeer</v>
          </cell>
          <cell r="AF210" t="str">
            <v>15 Wellington Rd</v>
          </cell>
          <cell r="AG210" t="str">
            <v>East Brisbane</v>
          </cell>
          <cell r="AH210" t="str">
            <v>4169</v>
          </cell>
        </row>
        <row r="211">
          <cell r="K211">
            <v>1</v>
          </cell>
          <cell r="L211">
            <v>1</v>
          </cell>
          <cell r="M211">
            <v>1</v>
          </cell>
          <cell r="N211">
            <v>1</v>
          </cell>
          <cell r="O211">
            <v>1</v>
          </cell>
          <cell r="P211">
            <v>1</v>
          </cell>
          <cell r="Q211">
            <v>1</v>
          </cell>
          <cell r="R211">
            <v>1</v>
          </cell>
          <cell r="S211">
            <v>1</v>
          </cell>
          <cell r="T211" t="str">
            <v>RTO - Current - Application Approved</v>
          </cell>
          <cell r="AA211" t="str">
            <v>5363</v>
          </cell>
          <cell r="AB211" t="str">
            <v>Nombay Pty. Ltd.</v>
          </cell>
          <cell r="AC211" t="str">
            <v>Advanced Industry Training</v>
          </cell>
          <cell r="AD211" t="str">
            <v>87 011 057 417</v>
          </cell>
          <cell r="AE211" t="str">
            <v>Mr Schae O'Dell (Director); Mrs Lucy O'Dell (Manager)</v>
          </cell>
          <cell r="AF211" t="str">
            <v>97 Rooney St</v>
          </cell>
          <cell r="AG211" t="str">
            <v>South Townsville</v>
          </cell>
          <cell r="AH211" t="str">
            <v>4810</v>
          </cell>
          <cell r="AP211" t="str">
            <v>No</v>
          </cell>
        </row>
        <row r="212">
          <cell r="K212">
            <v>1</v>
          </cell>
          <cell r="L212">
            <v>1</v>
          </cell>
          <cell r="M212">
            <v>1</v>
          </cell>
          <cell r="N212">
            <v>1</v>
          </cell>
          <cell r="O212">
            <v>1</v>
          </cell>
          <cell r="P212">
            <v>1</v>
          </cell>
          <cell r="Q212">
            <v>1</v>
          </cell>
          <cell r="R212">
            <v>1</v>
          </cell>
          <cell r="S212">
            <v>1</v>
          </cell>
          <cell r="T212" t="str">
            <v>RTO - Terminated - ASQA Registration/Scope Ended</v>
          </cell>
          <cell r="AA212" t="str">
            <v>60156</v>
          </cell>
          <cell r="AB212" t="str">
            <v>Northern Joblink Limited</v>
          </cell>
          <cell r="AC212" t="str">
            <v>National Joblink</v>
          </cell>
          <cell r="AD212" t="str">
            <v>30 137 620 083</v>
          </cell>
          <cell r="AE212" t="str">
            <v>Kim Homer</v>
          </cell>
          <cell r="AF212" t="str">
            <v>55 Cameron Street</v>
          </cell>
          <cell r="AG212" t="str">
            <v>Launceston</v>
          </cell>
          <cell r="AH212" t="str">
            <v>7250</v>
          </cell>
        </row>
        <row r="213">
          <cell r="K213">
            <v>1</v>
          </cell>
          <cell r="L213">
            <v>1</v>
          </cell>
          <cell r="M213">
            <v>1</v>
          </cell>
          <cell r="N213">
            <v>1</v>
          </cell>
          <cell r="O213">
            <v>1</v>
          </cell>
          <cell r="P213">
            <v>1</v>
          </cell>
          <cell r="Q213">
            <v>1</v>
          </cell>
          <cell r="R213">
            <v>1</v>
          </cell>
          <cell r="S213">
            <v>1</v>
          </cell>
          <cell r="T213" t="str">
            <v>RTO - Current - Application Approved</v>
          </cell>
          <cell r="AA213" t="str">
            <v>32299</v>
          </cell>
          <cell r="AB213" t="str">
            <v>Occupational Skills Centre Australia Pty Ltd as trustee for the McCorkle Family Trust</v>
          </cell>
          <cell r="AC213" t="str">
            <v>Occupational Skills Centre Australia Pty Ltd</v>
          </cell>
          <cell r="AD213" t="str">
            <v>79 772 496 980</v>
          </cell>
          <cell r="AE213" t="str">
            <v>Mr John Talbert McCorkle (CEO); Mr Gavin Dicinosk (Director)i</v>
          </cell>
          <cell r="AF213" t="str">
            <v>160 Denison St</v>
          </cell>
          <cell r="AG213" t="str">
            <v>Rockhampton</v>
          </cell>
          <cell r="AH213" t="str">
            <v>4700</v>
          </cell>
          <cell r="AP213" t="str">
            <v>No</v>
          </cell>
        </row>
        <row r="214"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 t="str">
            <v>RTO - Current - Application Approved</v>
          </cell>
          <cell r="AA214" t="str">
            <v>31092</v>
          </cell>
          <cell r="AB214" t="str">
            <v>OHSA Occupational Health Services Australia Pty Ltd as Trustee for the Phillips Family Trust (OHSA)</v>
          </cell>
          <cell r="AC214" t="str">
            <v>OHSA Occupational Health Services Australia Pty Ltd</v>
          </cell>
          <cell r="AD214" t="str">
            <v>73 833 631 941</v>
          </cell>
          <cell r="AE214" t="str">
            <v>Mr Simon Phillips (CEO); Mr Steve Logan (Operations Manager)</v>
          </cell>
          <cell r="AF214" t="str">
            <v>Unit 1/51 Township Drive</v>
          </cell>
          <cell r="AG214" t="str">
            <v>West Burleigh</v>
          </cell>
          <cell r="AH214" t="str">
            <v>4219</v>
          </cell>
          <cell r="AP214" t="str">
            <v>No</v>
          </cell>
        </row>
        <row r="215">
          <cell r="K215">
            <v>1</v>
          </cell>
          <cell r="L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 t="str">
            <v>RTO - Terminated by RTO</v>
          </cell>
          <cell r="AA215" t="str">
            <v>41263</v>
          </cell>
          <cell r="AB215" t="str">
            <v>On Site Assessing Pty Ltd</v>
          </cell>
          <cell r="AC215" t="str">
            <v>N/A</v>
          </cell>
          <cell r="AD215" t="str">
            <v>23 166 880 146</v>
          </cell>
          <cell r="AE215" t="str">
            <v>Mr Brian Kenneth Willmott (CEO)</v>
          </cell>
          <cell r="AF215" t="str">
            <v>5 Liatoki Street</v>
          </cell>
          <cell r="AG215" t="str">
            <v>Mansfield</v>
          </cell>
          <cell r="AH215" t="str">
            <v>4122</v>
          </cell>
          <cell r="AP215" t="str">
            <v>No</v>
          </cell>
        </row>
        <row r="216">
          <cell r="K216">
            <v>1</v>
          </cell>
          <cell r="L216">
            <v>1</v>
          </cell>
          <cell r="M216">
            <v>1</v>
          </cell>
          <cell r="N216">
            <v>1</v>
          </cell>
          <cell r="O216">
            <v>1</v>
          </cell>
          <cell r="P216">
            <v>1</v>
          </cell>
          <cell r="Q216">
            <v>1</v>
          </cell>
          <cell r="R216">
            <v>1</v>
          </cell>
          <cell r="S216">
            <v>1</v>
          </cell>
          <cell r="T216" t="str">
            <v>RTO - Terminated by RTO</v>
          </cell>
          <cell r="AA216" t="str">
            <v>31737</v>
          </cell>
          <cell r="AB216" t="str">
            <v>One Stop Group Pty Ltd as Trustee for the One Stop Group Business Trust</v>
          </cell>
          <cell r="AC216" t="str">
            <v>One Stop Training</v>
          </cell>
          <cell r="AD216" t="str">
            <v>55 635 808 956</v>
          </cell>
          <cell r="AE216" t="str">
            <v>Mr Leonie Carlile (CEO); Mr Geoff Chant (Compliance Manager)</v>
          </cell>
          <cell r="AF216" t="str">
            <v>Shop 6, 45 Nind St</v>
          </cell>
          <cell r="AG216" t="str">
            <v>Southport</v>
          </cell>
          <cell r="AH216" t="str">
            <v>4215</v>
          </cell>
          <cell r="AP216" t="str">
            <v>No</v>
          </cell>
        </row>
        <row r="217">
          <cell r="T217" t="str">
            <v>RTO - Terminated by RTO</v>
          </cell>
          <cell r="AA217" t="str">
            <v>32080</v>
          </cell>
          <cell r="AB217" t="str">
            <v>Online Courses Australia Pty Ltd</v>
          </cell>
          <cell r="AC217" t="str">
            <v>N/A</v>
          </cell>
          <cell r="AD217" t="str">
            <v>46 136 402 778</v>
          </cell>
          <cell r="AE217" t="str">
            <v>Ms Catherine (Cathy) Walsh</v>
          </cell>
          <cell r="AF217" t="str">
            <v>Lvl 1, 130 Commercial Road</v>
          </cell>
          <cell r="AG217" t="str">
            <v>Newstead</v>
          </cell>
          <cell r="AH217" t="str">
            <v>4006</v>
          </cell>
        </row>
        <row r="218">
          <cell r="T218" t="str">
            <v>RTO - Terminated by RTO</v>
          </cell>
          <cell r="AA218" t="str">
            <v>40761</v>
          </cell>
          <cell r="AB218" t="str">
            <v>Orbus3 Pty Ltd</v>
          </cell>
          <cell r="AC218" t="str">
            <v>N/A</v>
          </cell>
          <cell r="AD218" t="str">
            <v>37 163 523 984</v>
          </cell>
          <cell r="AE218" t="str">
            <v>Mr Aidan Leonard</v>
          </cell>
          <cell r="AF218" t="str">
            <v>8, 16 Brighton Road</v>
          </cell>
          <cell r="AG218" t="str">
            <v>Sandgate</v>
          </cell>
          <cell r="AH218" t="str">
            <v>4017</v>
          </cell>
        </row>
        <row r="219">
          <cell r="K219">
            <v>1</v>
          </cell>
          <cell r="L219">
            <v>1</v>
          </cell>
          <cell r="M219">
            <v>1</v>
          </cell>
          <cell r="N219">
            <v>1</v>
          </cell>
          <cell r="O219">
            <v>1</v>
          </cell>
          <cell r="P219">
            <v>1</v>
          </cell>
          <cell r="Q219">
            <v>1</v>
          </cell>
          <cell r="R219">
            <v>1</v>
          </cell>
          <cell r="S219">
            <v>1</v>
          </cell>
          <cell r="T219" t="str">
            <v>RTO - Terminated by RTO</v>
          </cell>
          <cell r="AA219" t="str">
            <v>32418</v>
          </cell>
          <cell r="AB219" t="str">
            <v>Paul Kearney &amp; Associates Pty Ltd</v>
          </cell>
          <cell r="AC219" t="str">
            <v>Education In Building</v>
          </cell>
          <cell r="AD219" t="str">
            <v>16 601 505 837</v>
          </cell>
          <cell r="AE219" t="str">
            <v>Mr Paul Kearney</v>
          </cell>
          <cell r="AF219" t="str">
            <v>96A Trudy Cresent</v>
          </cell>
          <cell r="AG219" t="str">
            <v>Cornubia</v>
          </cell>
          <cell r="AH219" t="str">
            <v>4130</v>
          </cell>
        </row>
        <row r="220">
          <cell r="T220" t="str">
            <v>RTO - Terminated by RTO</v>
          </cell>
          <cell r="AA220" t="str">
            <v>1820</v>
          </cell>
          <cell r="AB220" t="str">
            <v>PCD Training Services Pty Ltd</v>
          </cell>
          <cell r="AC220" t="str">
            <v>N/A</v>
          </cell>
          <cell r="AD220" t="str">
            <v>33 154 626 052</v>
          </cell>
          <cell r="AE220" t="str">
            <v>Mr Jeff Brennan</v>
          </cell>
          <cell r="AF220" t="str">
            <v>Unit 1, 26 Veronica Street</v>
          </cell>
          <cell r="AG220" t="str">
            <v>Capalaba</v>
          </cell>
          <cell r="AH220" t="str">
            <v>4157</v>
          </cell>
        </row>
        <row r="221">
          <cell r="K221">
            <v>1</v>
          </cell>
          <cell r="L221">
            <v>1</v>
          </cell>
          <cell r="M221">
            <v>1</v>
          </cell>
          <cell r="N221">
            <v>1</v>
          </cell>
          <cell r="O221">
            <v>1</v>
          </cell>
          <cell r="P221">
            <v>1</v>
          </cell>
          <cell r="Q221">
            <v>1</v>
          </cell>
          <cell r="R221">
            <v>1</v>
          </cell>
          <cell r="S221">
            <v>1</v>
          </cell>
          <cell r="T221" t="str">
            <v>RTO - Current - Application Approved</v>
          </cell>
          <cell r="AA221" t="str">
            <v>31175</v>
          </cell>
          <cell r="AB221" t="str">
            <v>People and Performance Solutions P/L as Trustee for the P &amp; PS Trust</v>
          </cell>
          <cell r="AC221" t="str">
            <v>Gold Coast Trades College</v>
          </cell>
          <cell r="AD221" t="str">
            <v>28 389 309 830</v>
          </cell>
          <cell r="AE221" t="str">
            <v>Mrs Sharna Bradley (CEO)</v>
          </cell>
          <cell r="AF221" t="str">
            <v>6 Hayter St</v>
          </cell>
          <cell r="AG221" t="str">
            <v>Currumbin Waters</v>
          </cell>
          <cell r="AH221" t="str">
            <v>4223</v>
          </cell>
          <cell r="AP221" t="str">
            <v>No</v>
          </cell>
        </row>
        <row r="222">
          <cell r="K222">
            <v>1</v>
          </cell>
          <cell r="L222">
            <v>1</v>
          </cell>
          <cell r="M222">
            <v>1</v>
          </cell>
          <cell r="N222">
            <v>1</v>
          </cell>
          <cell r="O222">
            <v>1</v>
          </cell>
          <cell r="P222">
            <v>1</v>
          </cell>
          <cell r="Q222">
            <v>1</v>
          </cell>
          <cell r="R222">
            <v>1</v>
          </cell>
          <cell r="S222">
            <v>1</v>
          </cell>
          <cell r="T222" t="str">
            <v>RTO - Terminated by WHSQ</v>
          </cell>
          <cell r="AA222" t="str">
            <v>31283</v>
          </cell>
          <cell r="AB222" t="str">
            <v>Phenlia Pty Ltd as Trustee for the Fitzpatrick Family Trust</v>
          </cell>
          <cell r="AC222" t="str">
            <v>Safetyway</v>
          </cell>
          <cell r="AD222" t="str">
            <v>38 773 026 617</v>
          </cell>
          <cell r="AE222" t="str">
            <v>Mr Stephen Fitzpatrick</v>
          </cell>
          <cell r="AF222" t="str">
            <v>2 Parkvista Court</v>
          </cell>
          <cell r="AG222" t="str">
            <v>Barnside</v>
          </cell>
          <cell r="AH222" t="str">
            <v>4560</v>
          </cell>
        </row>
        <row r="223"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 t="str">
            <v>RTO - Current - Application Approved</v>
          </cell>
          <cell r="AA223" t="str">
            <v>41010</v>
          </cell>
          <cell r="AB223" t="str">
            <v>Philip Denmeade</v>
          </cell>
          <cell r="AC223" t="str">
            <v>Coast Training</v>
          </cell>
          <cell r="AD223" t="str">
            <v>83 466 804 532</v>
          </cell>
          <cell r="AE223" t="str">
            <v>Mr Philip Denmeade (Executive Officer)</v>
          </cell>
          <cell r="AF223" t="str">
            <v>6 Commerce Cl</v>
          </cell>
          <cell r="AG223" t="str">
            <v>Cannonvale</v>
          </cell>
          <cell r="AH223" t="str">
            <v>4802</v>
          </cell>
          <cell r="AP223" t="str">
            <v>No</v>
          </cell>
        </row>
        <row r="224">
          <cell r="K224">
            <v>1</v>
          </cell>
          <cell r="L224">
            <v>1</v>
          </cell>
          <cell r="M224">
            <v>1</v>
          </cell>
          <cell r="N224">
            <v>1</v>
          </cell>
          <cell r="O224">
            <v>1</v>
          </cell>
          <cell r="P224">
            <v>1</v>
          </cell>
          <cell r="Q224">
            <v>1</v>
          </cell>
          <cell r="R224">
            <v>1</v>
          </cell>
          <cell r="S224">
            <v>1</v>
          </cell>
          <cell r="T224" t="str">
            <v>RTO - Current - Application Approved</v>
          </cell>
          <cell r="AA224" t="str">
            <v>40496</v>
          </cell>
          <cell r="AB224" t="str">
            <v>Pinnacle Height Safety Pty Ltd</v>
          </cell>
          <cell r="AC224" t="str">
            <v>Pinnacle Safety and Training</v>
          </cell>
          <cell r="AD224" t="str">
            <v>31 104 761 686</v>
          </cell>
          <cell r="AE224" t="str">
            <v>Mr Benjamin Allen (CEO); Mr Nicole Freeman  (RTO Manager)</v>
          </cell>
          <cell r="AF224" t="str">
            <v>40 Borthwich Ave</v>
          </cell>
          <cell r="AG224" t="str">
            <v>Murrarie</v>
          </cell>
          <cell r="AH224" t="str">
            <v>4172</v>
          </cell>
          <cell r="AP224" t="str">
            <v>No</v>
          </cell>
        </row>
        <row r="225">
          <cell r="K225">
            <v>1</v>
          </cell>
          <cell r="L225">
            <v>1</v>
          </cell>
          <cell r="M225">
            <v>1</v>
          </cell>
          <cell r="N225">
            <v>1</v>
          </cell>
          <cell r="O225">
            <v>1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 t="str">
            <v>RTO - Current - Application Approved</v>
          </cell>
          <cell r="AA225" t="str">
            <v>45416</v>
          </cell>
          <cell r="AB225" t="str">
            <v>Pinnacle Training Pty Ltd</v>
          </cell>
          <cell r="AC225" t="str">
            <v>N/A</v>
          </cell>
          <cell r="AD225" t="str">
            <v>45 159 416 958</v>
          </cell>
          <cell r="AE225" t="str">
            <v>Mr Adrian Glasscock (CEO); Mrs Georgia Brown (Manager)</v>
          </cell>
          <cell r="AF225" t="str">
            <v>14 Bent Street</v>
          </cell>
          <cell r="AG225" t="str">
            <v>Gympie</v>
          </cell>
          <cell r="AH225" t="str">
            <v>4570</v>
          </cell>
          <cell r="AP225" t="str">
            <v>No</v>
          </cell>
        </row>
        <row r="226">
          <cell r="T226" t="str">
            <v>RTO - Terminated by RTO</v>
          </cell>
          <cell r="AA226" t="str">
            <v>32371</v>
          </cell>
          <cell r="AB226" t="str">
            <v>Plenty Systems Pty Ltd</v>
          </cell>
          <cell r="AC226" t="str">
            <v>N/A</v>
          </cell>
          <cell r="AD226" t="str">
            <v>16 085 565 840</v>
          </cell>
          <cell r="AE226" t="str">
            <v>Ms Maria Morton</v>
          </cell>
          <cell r="AF226" t="str">
            <v>Suite 9,  240 Varsity Parade</v>
          </cell>
          <cell r="AG226" t="str">
            <v>Varsity Lakes</v>
          </cell>
          <cell r="AH226" t="str">
            <v>4227</v>
          </cell>
        </row>
        <row r="227">
          <cell r="K227">
            <v>1</v>
          </cell>
          <cell r="L227">
            <v>1</v>
          </cell>
          <cell r="M227">
            <v>1</v>
          </cell>
          <cell r="N227">
            <v>1</v>
          </cell>
          <cell r="O227">
            <v>1</v>
          </cell>
          <cell r="P227">
            <v>1</v>
          </cell>
          <cell r="Q227">
            <v>1</v>
          </cell>
          <cell r="R227">
            <v>1</v>
          </cell>
          <cell r="S227">
            <v>1</v>
          </cell>
          <cell r="T227" t="str">
            <v>RTO - Current - Application Approved</v>
          </cell>
          <cell r="AA227" t="str">
            <v>41551</v>
          </cell>
          <cell r="AB227" t="str">
            <v>PPS Training Pty Ltd</v>
          </cell>
          <cell r="AC227" t="str">
            <v>Training Services QLD</v>
          </cell>
          <cell r="AD227" t="str">
            <v>47 167 112 254</v>
          </cell>
          <cell r="AE227" t="str">
            <v>Mr Stacey Fittock (CEO); Ms Kerry Gilshenan; Ms Kristina Noble</v>
          </cell>
          <cell r="AF227" t="str">
            <v>22 Palmer Street</v>
          </cell>
          <cell r="AG227" t="str">
            <v>Portsmith</v>
          </cell>
          <cell r="AH227" t="str">
            <v>4870</v>
          </cell>
          <cell r="AP227" t="str">
            <v>No</v>
          </cell>
        </row>
        <row r="228">
          <cell r="K228">
            <v>1</v>
          </cell>
          <cell r="L228">
            <v>1</v>
          </cell>
          <cell r="M228">
            <v>1</v>
          </cell>
          <cell r="N228">
            <v>1</v>
          </cell>
          <cell r="O228">
            <v>1</v>
          </cell>
          <cell r="P228">
            <v>1</v>
          </cell>
          <cell r="Q228">
            <v>1</v>
          </cell>
          <cell r="R228">
            <v>1</v>
          </cell>
          <cell r="S228">
            <v>1</v>
          </cell>
          <cell r="T228" t="str">
            <v>RTO - Terminated by RTO</v>
          </cell>
          <cell r="AA228" t="str">
            <v>32257</v>
          </cell>
          <cell r="AB228" t="str">
            <v>PreStart Safety &amp; Training Pty Ltd</v>
          </cell>
          <cell r="AC228" t="str">
            <v>N/A</v>
          </cell>
          <cell r="AD228" t="str">
            <v>27 142 329 404</v>
          </cell>
          <cell r="AE228" t="str">
            <v>Mr. Mark Properjohn (CEO); Ms Carly Rohweder</v>
          </cell>
          <cell r="AF228" t="str">
            <v>34-36 Bradford Rd</v>
          </cell>
          <cell r="AG228" t="str">
            <v>Burpengary East</v>
          </cell>
          <cell r="AH228" t="str">
            <v>4505</v>
          </cell>
          <cell r="AP228" t="str">
            <v>No</v>
          </cell>
        </row>
        <row r="229">
          <cell r="T229" t="str">
            <v>RTO - Terminated - ASQA Registration/Scope Ended</v>
          </cell>
          <cell r="AA229" t="str">
            <v>41362</v>
          </cell>
          <cell r="AB229" t="str">
            <v>Progressive Education Group Pty Ltd</v>
          </cell>
          <cell r="AC229" t="str">
            <v>N/A</v>
          </cell>
          <cell r="AD229" t="str">
            <v>19 606 998 574</v>
          </cell>
          <cell r="AE229" t="str">
            <v>Mr Muhammad Ali</v>
          </cell>
          <cell r="AF229" t="str">
            <v>58 Isabella Way</v>
          </cell>
          <cell r="AG229" t="str">
            <v>Tarneit</v>
          </cell>
          <cell r="AH229" t="str">
            <v>3029</v>
          </cell>
        </row>
        <row r="230"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 t="str">
            <v>RTO - Terminated - ASQA Registration/Scope Ended</v>
          </cell>
          <cell r="AA230" t="str">
            <v>22060</v>
          </cell>
          <cell r="AB230" t="str">
            <v>Progressive Training Solutions Pty Ltd</v>
          </cell>
          <cell r="AC230" t="str">
            <v>Hospitality Staff Assessment</v>
          </cell>
          <cell r="AD230" t="str">
            <v>38 126 003 450</v>
          </cell>
          <cell r="AE230" t="str">
            <v>Mr Geoffrey Murray</v>
          </cell>
          <cell r="AF230" t="str">
            <v>24 Portman St</v>
          </cell>
          <cell r="AG230" t="str">
            <v>Oakleigh</v>
          </cell>
          <cell r="AH230" t="str">
            <v>3166</v>
          </cell>
        </row>
        <row r="231">
          <cell r="T231" t="str">
            <v>RTO - Terminated - ASQA Registration/Scope Ended</v>
          </cell>
          <cell r="AA231" t="str">
            <v>30913</v>
          </cell>
          <cell r="AB231" t="str">
            <v>Pro-System Training Services Pty Ltd</v>
          </cell>
          <cell r="AC231" t="str">
            <v>N/A</v>
          </cell>
          <cell r="AD231" t="str">
            <v>61 101 344 334</v>
          </cell>
          <cell r="AE231" t="str">
            <v>Mr Frank Sain</v>
          </cell>
          <cell r="AF231" t="str">
            <v>Level 1, Unit 3 58 Brookes Street</v>
          </cell>
          <cell r="AG231" t="str">
            <v>Bowen Hills</v>
          </cell>
          <cell r="AH231" t="str">
            <v>4006</v>
          </cell>
        </row>
        <row r="232">
          <cell r="K232">
            <v>44433</v>
          </cell>
          <cell r="L232">
            <v>1</v>
          </cell>
          <cell r="M232">
            <v>1</v>
          </cell>
          <cell r="N232">
            <v>1</v>
          </cell>
          <cell r="O232">
            <v>44468</v>
          </cell>
          <cell r="P232">
            <v>1</v>
          </cell>
          <cell r="Q232">
            <v>1</v>
          </cell>
          <cell r="R232">
            <v>1</v>
          </cell>
          <cell r="S232">
            <v>1</v>
          </cell>
          <cell r="T232" t="str">
            <v>RTO - Current - Application Approved</v>
          </cell>
          <cell r="AA232" t="str">
            <v>30097</v>
          </cell>
          <cell r="AB232" t="str">
            <v>Queensland Master Builders Assciation Industrial Organisation of Employers</v>
          </cell>
          <cell r="AC232" t="str">
            <v>Master Builders Queensland</v>
          </cell>
          <cell r="AD232" t="str">
            <v>96 641 989 386</v>
          </cell>
          <cell r="AE232" t="str">
            <v>Mr Paul Bidwell (CEO); Mrs Kylie Fletcher (General Manager)</v>
          </cell>
          <cell r="AF232" t="str">
            <v>417 Wickham Tce</v>
          </cell>
          <cell r="AG232" t="str">
            <v>Spring Hill</v>
          </cell>
          <cell r="AH232" t="str">
            <v>4000</v>
          </cell>
          <cell r="AP232" t="str">
            <v>No</v>
          </cell>
        </row>
        <row r="233">
          <cell r="K233">
            <v>1</v>
          </cell>
          <cell r="L233">
            <v>1</v>
          </cell>
          <cell r="M233">
            <v>1</v>
          </cell>
          <cell r="N233">
            <v>1</v>
          </cell>
          <cell r="O233">
            <v>1</v>
          </cell>
          <cell r="P233">
            <v>1</v>
          </cell>
          <cell r="Q233">
            <v>1</v>
          </cell>
          <cell r="R233">
            <v>1</v>
          </cell>
          <cell r="S233">
            <v>1</v>
          </cell>
          <cell r="T233" t="str">
            <v>RTO - Terminated by RTO</v>
          </cell>
          <cell r="AA233" t="str">
            <v>31504</v>
          </cell>
          <cell r="AB233" t="str">
            <v>Qld Training Solutions Pty Ltd as the trustee for Qld Training Solutions Unit Trust</v>
          </cell>
          <cell r="AC233" t="str">
            <v>N/A</v>
          </cell>
          <cell r="AD233" t="str">
            <v>91 123 602 086</v>
          </cell>
          <cell r="AE233" t="str">
            <v>Mr David Hackett (CEO); Ms Janette Van Eldik (Manager)</v>
          </cell>
          <cell r="AF233" t="str">
            <v>Level 1, 36 Wellington Street</v>
          </cell>
          <cell r="AG233" t="str">
            <v>Mackay</v>
          </cell>
          <cell r="AH233" t="str">
            <v>4740</v>
          </cell>
          <cell r="AP233" t="str">
            <v>No</v>
          </cell>
        </row>
        <row r="234">
          <cell r="T234" t="str">
            <v>RTO - Terminated - ASQA Registration/Scope Ended</v>
          </cell>
          <cell r="AA234" t="str">
            <v>21907</v>
          </cell>
          <cell r="AB234" t="str">
            <v>Quality Hospitality International Pty Ltd</v>
          </cell>
          <cell r="AC234" t="str">
            <v>N/A</v>
          </cell>
          <cell r="AD234" t="str">
            <v>56 114 229 499</v>
          </cell>
          <cell r="AE234" t="str">
            <v>Mr Brendan Power</v>
          </cell>
          <cell r="AF234" t="str">
            <v>30 Minnie Street</v>
          </cell>
          <cell r="AG234" t="str">
            <v>Cairns</v>
          </cell>
          <cell r="AH234" t="str">
            <v>4870</v>
          </cell>
        </row>
        <row r="235">
          <cell r="T235" t="str">
            <v>RTO - Terminated by RTO</v>
          </cell>
          <cell r="AA235" t="str">
            <v>7112</v>
          </cell>
          <cell r="AB235" t="str">
            <v>Quantum Training Pty Ltd</v>
          </cell>
          <cell r="AC235" t="str">
            <v>N/A</v>
          </cell>
          <cell r="AD235" t="str">
            <v>45 056 661 093</v>
          </cell>
          <cell r="AE235" t="str">
            <v>Mr Lawrence Matthews</v>
          </cell>
          <cell r="AF235" t="str">
            <v xml:space="preserve"> 4 Paul Court</v>
          </cell>
          <cell r="AG235" t="str">
            <v>Dandenong</v>
          </cell>
          <cell r="AH235" t="str">
            <v>3175</v>
          </cell>
        </row>
        <row r="236">
          <cell r="K236">
            <v>1</v>
          </cell>
          <cell r="L236">
            <v>1</v>
          </cell>
          <cell r="M236">
            <v>1</v>
          </cell>
          <cell r="N236">
            <v>1</v>
          </cell>
          <cell r="O236">
            <v>1</v>
          </cell>
          <cell r="P236">
            <v>1</v>
          </cell>
          <cell r="Q236">
            <v>1</v>
          </cell>
          <cell r="R236">
            <v>1</v>
          </cell>
          <cell r="S236">
            <v>1</v>
          </cell>
          <cell r="T236" t="str">
            <v>RTO - Current - Application Approved</v>
          </cell>
          <cell r="AA236" t="str">
            <v>31178</v>
          </cell>
          <cell r="AB236" t="str">
            <v>Queensland Training Services Pty Ltd as Trustee for the Queensland Training Services Unit Trust</v>
          </cell>
          <cell r="AC236" t="str">
            <v>Total Management and Training</v>
          </cell>
          <cell r="AD236" t="str">
            <v>48 946 156 316</v>
          </cell>
          <cell r="AE236" t="str">
            <v>Mr Benjamin O'Donoghue (CEO); Ms Kylie Jones (Accounts Manager)</v>
          </cell>
          <cell r="AF236" t="str">
            <v>Lvl 1, 2-10 Industrial Ave</v>
          </cell>
          <cell r="AG236" t="str">
            <v>Stratford</v>
          </cell>
          <cell r="AH236" t="str">
            <v>4870</v>
          </cell>
          <cell r="AP236" t="str">
            <v>No</v>
          </cell>
        </row>
        <row r="237">
          <cell r="K237">
            <v>1</v>
          </cell>
          <cell r="L237">
            <v>1</v>
          </cell>
          <cell r="M237">
            <v>1</v>
          </cell>
          <cell r="N237">
            <v>1</v>
          </cell>
          <cell r="O237">
            <v>1</v>
          </cell>
          <cell r="P237">
            <v>1</v>
          </cell>
          <cell r="Q237">
            <v>1</v>
          </cell>
          <cell r="R237">
            <v>1</v>
          </cell>
          <cell r="S237">
            <v>1</v>
          </cell>
          <cell r="T237" t="str">
            <v>RTO - Current - Application Approved</v>
          </cell>
          <cell r="AA237" t="str">
            <v>40931</v>
          </cell>
          <cell r="AB237" t="str">
            <v>Queensland Transport &amp; Logistics Training Pty Ltd</v>
          </cell>
          <cell r="AC237" t="str">
            <v>N/A</v>
          </cell>
          <cell r="AD237" t="str">
            <v>72 164 781 640</v>
          </cell>
          <cell r="AE237" t="str">
            <v>Mrs Katherine McLeod (CEO); Mr Ross McLeod (COO)</v>
          </cell>
          <cell r="AF237" t="str">
            <v>8 Spoto St</v>
          </cell>
          <cell r="AG237" t="str">
            <v>Woree</v>
          </cell>
          <cell r="AH237" t="str">
            <v>4868</v>
          </cell>
          <cell r="AP237" t="str">
            <v>No</v>
          </cell>
        </row>
        <row r="238">
          <cell r="T238" t="str">
            <v>RTO - Terminated by RTO</v>
          </cell>
          <cell r="AA238" t="str">
            <v>30771</v>
          </cell>
          <cell r="AB238" t="str">
            <v>Ranak Pty Ltd</v>
          </cell>
          <cell r="AC238" t="str">
            <v>Australian College of Health and Safety</v>
          </cell>
          <cell r="AD238" t="str">
            <v>61 098 285 968</v>
          </cell>
          <cell r="AE238" t="str">
            <v>Ms Karen Mercier</v>
          </cell>
          <cell r="AF238" t="str">
            <v>Cnr Oceanic Street &amp; Pye Lane</v>
          </cell>
          <cell r="AG238" t="str">
            <v>Wellington Point</v>
          </cell>
          <cell r="AH238" t="str">
            <v>4160</v>
          </cell>
        </row>
        <row r="239">
          <cell r="K239">
            <v>1</v>
          </cell>
          <cell r="L239">
            <v>1</v>
          </cell>
          <cell r="M239">
            <v>1</v>
          </cell>
          <cell r="N239">
            <v>1</v>
          </cell>
          <cell r="O239">
            <v>1</v>
          </cell>
          <cell r="P239">
            <v>1</v>
          </cell>
          <cell r="Q239">
            <v>1</v>
          </cell>
          <cell r="R239">
            <v>1</v>
          </cell>
          <cell r="S239">
            <v>1</v>
          </cell>
          <cell r="T239" t="str">
            <v>RTO - Terminated by RTO</v>
          </cell>
          <cell r="AA239" t="str">
            <v>32496</v>
          </cell>
          <cell r="AB239" t="str">
            <v>Realistic Training Options Pty Ltd ATF / RTO Unit Trust</v>
          </cell>
          <cell r="AC239" t="str">
            <v>N/A</v>
          </cell>
          <cell r="AD239" t="str">
            <v>35 135 468 103</v>
          </cell>
          <cell r="AE239" t="str">
            <v>Mr Justin Morton (CEO); Ms Kassy Fry (Administration Supervisor)</v>
          </cell>
          <cell r="AF239" t="str">
            <v>15/388 Newman Rd</v>
          </cell>
          <cell r="AG239" t="str">
            <v>Geebung</v>
          </cell>
          <cell r="AH239" t="str">
            <v>4034</v>
          </cell>
          <cell r="AP239" t="str">
            <v>No</v>
          </cell>
        </row>
        <row r="240">
          <cell r="T240" t="str">
            <v>RTO - Terminated by RTO</v>
          </cell>
          <cell r="AA240" t="str">
            <v>51786</v>
          </cell>
          <cell r="AB240" t="str">
            <v>RECEO Safety and Response Consultants Pty Ltd</v>
          </cell>
          <cell r="AC240" t="str">
            <v>N/A</v>
          </cell>
          <cell r="AD240" t="str">
            <v>78 106 472 164</v>
          </cell>
          <cell r="AE240" t="str">
            <v>Tobias Byrne</v>
          </cell>
          <cell r="AF240" t="str">
            <v>6b 32-34 Hines Road</v>
          </cell>
          <cell r="AG240" t="str">
            <v>O'Connor</v>
          </cell>
          <cell r="AH240" t="str">
            <v>6163</v>
          </cell>
        </row>
        <row r="241">
          <cell r="T241" t="str">
            <v>RTO - Terminated by RTO</v>
          </cell>
          <cell r="AA241" t="str">
            <v>31812</v>
          </cell>
          <cell r="AB241" t="str">
            <v>Reserve Training and Safety Pty Ltd</v>
          </cell>
          <cell r="AC241" t="str">
            <v>N/A</v>
          </cell>
          <cell r="AD241" t="str">
            <v>81 129 920 074</v>
          </cell>
          <cell r="AE241" t="str">
            <v>Mr Lee Porter</v>
          </cell>
          <cell r="AF241" t="str">
            <v>18 Abraham St</v>
          </cell>
          <cell r="AG241" t="str">
            <v>Red Hill</v>
          </cell>
          <cell r="AH241" t="str">
            <v>4059</v>
          </cell>
        </row>
        <row r="242">
          <cell r="T242" t="str">
            <v>RTO - Terminated by RTO</v>
          </cell>
          <cell r="AA242" t="str">
            <v>70247</v>
          </cell>
          <cell r="AB242" t="str">
            <v>Riskexec Pty Ltd</v>
          </cell>
          <cell r="AC242" t="str">
            <v>N/A</v>
          </cell>
          <cell r="AD242" t="str">
            <v>14 124 021 709</v>
          </cell>
          <cell r="AE242" t="str">
            <v>Mr Hassan Hijazi</v>
          </cell>
          <cell r="AF242" t="str">
            <v>Suit 4 , 2-4 Fetherstone Street</v>
          </cell>
          <cell r="AG242" t="str">
            <v>Bankstown</v>
          </cell>
          <cell r="AH242" t="str">
            <v>2200</v>
          </cell>
        </row>
        <row r="243">
          <cell r="T243" t="str">
            <v>RTO - Terminated by WHSQ</v>
          </cell>
          <cell r="AA243" t="str">
            <v>30342</v>
          </cell>
          <cell r="AB243" t="str">
            <v>Rochedale State High School</v>
          </cell>
          <cell r="AC243" t="str">
            <v>N/A</v>
          </cell>
          <cell r="AD243" t="str">
            <v>56 393 650 530</v>
          </cell>
          <cell r="AE243" t="str">
            <v>Mrs Karen Morrison</v>
          </cell>
          <cell r="AF243" t="str">
            <v>Priestdale Road</v>
          </cell>
          <cell r="AG243" t="str">
            <v>Logan City DC</v>
          </cell>
          <cell r="AH243" t="str">
            <v>4114</v>
          </cell>
        </row>
        <row r="244">
          <cell r="K244">
            <v>43980</v>
          </cell>
          <cell r="L244">
            <v>43956</v>
          </cell>
          <cell r="M244">
            <v>1</v>
          </cell>
          <cell r="N244">
            <v>1</v>
          </cell>
          <cell r="O244">
            <v>43993</v>
          </cell>
          <cell r="P244">
            <v>1</v>
          </cell>
          <cell r="Q244">
            <v>1</v>
          </cell>
          <cell r="R244">
            <v>1</v>
          </cell>
          <cell r="S244">
            <v>1</v>
          </cell>
          <cell r="T244" t="str">
            <v>RTO - Current - Application Approved</v>
          </cell>
          <cell r="AA244" t="str">
            <v>40592</v>
          </cell>
          <cell r="AB244" t="str">
            <v>RSA Express Pty Ltd</v>
          </cell>
          <cell r="AC244" t="str">
            <v>Express Online Training</v>
          </cell>
          <cell r="AD244" t="str">
            <v>85 158 645 133</v>
          </cell>
          <cell r="AE244" t="str">
            <v>Mr Leigh Csont (CEO); Ms Nicole Burgess (COO)</v>
          </cell>
          <cell r="AF244" t="str">
            <v>Suite 3, 11-13 Ocean Grove Ave</v>
          </cell>
          <cell r="AG244" t="str">
            <v>Cronulla</v>
          </cell>
          <cell r="AH244" t="str">
            <v>2230</v>
          </cell>
          <cell r="AP244" t="str">
            <v>No</v>
          </cell>
        </row>
        <row r="245">
          <cell r="K245">
            <v>1</v>
          </cell>
          <cell r="L245">
            <v>1</v>
          </cell>
          <cell r="M245">
            <v>1</v>
          </cell>
          <cell r="N245">
            <v>1</v>
          </cell>
          <cell r="O245">
            <v>1</v>
          </cell>
          <cell r="P245">
            <v>1</v>
          </cell>
          <cell r="Q245">
            <v>1</v>
          </cell>
          <cell r="R245">
            <v>1</v>
          </cell>
          <cell r="S245">
            <v>1</v>
          </cell>
          <cell r="T245" t="str">
            <v>RTO - Current - Application Approved</v>
          </cell>
          <cell r="AA245" t="str">
            <v>31953</v>
          </cell>
          <cell r="AB245" t="str">
            <v>Rudtek Pty Ltd</v>
          </cell>
          <cell r="AC245" t="str">
            <v>N/A</v>
          </cell>
          <cell r="AD245" t="str">
            <v>49 133 358 380</v>
          </cell>
          <cell r="AE245" t="str">
            <v>Mrs Cherie Rudzitis (Director); Ms Tiffany Spina (Administration Officer)</v>
          </cell>
          <cell r="AF245" t="str">
            <v>Suite 2.5 460-492 Beaudesert Road</v>
          </cell>
          <cell r="AG245" t="str">
            <v>Salisbury</v>
          </cell>
          <cell r="AH245" t="str">
            <v>4107</v>
          </cell>
          <cell r="AP245" t="str">
            <v>No</v>
          </cell>
        </row>
        <row r="246">
          <cell r="T246" t="str">
            <v>RTO - Terminated - ASQA Registration/Scope Ended</v>
          </cell>
          <cell r="AA246" t="str">
            <v>0741</v>
          </cell>
          <cell r="AB246" t="str">
            <v>Safe Work Queensland</v>
          </cell>
          <cell r="AC246" t="str">
            <v>Safe work college for workplace Health and Safety</v>
          </cell>
          <cell r="AD246" t="str">
            <v>30 472 240 701</v>
          </cell>
          <cell r="AE246" t="str">
            <v>Mr Ron Monaghan</v>
          </cell>
          <cell r="AF246" t="str">
            <v>Level 5, TLC Building, 16 Peel Street</v>
          </cell>
          <cell r="AG246" t="str">
            <v>South Brisbane</v>
          </cell>
          <cell r="AH246" t="str">
            <v>4101</v>
          </cell>
        </row>
        <row r="247">
          <cell r="T247" t="str">
            <v>RTO - Terminated by RTO</v>
          </cell>
          <cell r="AA247" t="str">
            <v>32483</v>
          </cell>
          <cell r="AB247" t="str">
            <v>Safehouse Consultancy Pty Ltd</v>
          </cell>
          <cell r="AC247" t="str">
            <v>N/A</v>
          </cell>
          <cell r="AD247" t="str">
            <v>57 133 811 131</v>
          </cell>
          <cell r="AE247" t="str">
            <v>Mr Derek Woodhouse</v>
          </cell>
          <cell r="AF247" t="str">
            <v>1, 21 Brendan Drive</v>
          </cell>
          <cell r="AG247" t="str">
            <v>Nerang</v>
          </cell>
          <cell r="AH247" t="str">
            <v>4211</v>
          </cell>
        </row>
        <row r="248">
          <cell r="K248">
            <v>1</v>
          </cell>
          <cell r="L248">
            <v>1</v>
          </cell>
          <cell r="M248">
            <v>1</v>
          </cell>
          <cell r="N248">
            <v>1</v>
          </cell>
          <cell r="O248">
            <v>1</v>
          </cell>
          <cell r="P248">
            <v>1</v>
          </cell>
          <cell r="Q248">
            <v>1</v>
          </cell>
          <cell r="R248">
            <v>1</v>
          </cell>
          <cell r="S248">
            <v>1</v>
          </cell>
          <cell r="T248" t="str">
            <v>RTO - Current - Application Approved</v>
          </cell>
          <cell r="AA248" t="str">
            <v>40681</v>
          </cell>
          <cell r="AB248" t="str">
            <v>Safety &amp; Emergency Training (NQ) Pty Ltd</v>
          </cell>
          <cell r="AC248" t="str">
            <v>N/A</v>
          </cell>
          <cell r="AD248" t="str">
            <v>77 156 123 545</v>
          </cell>
          <cell r="AE248" t="str">
            <v>Mr Jody William Holden (Director); Mrs Kaylin Egan (Training Coordinator)</v>
          </cell>
          <cell r="AF248" t="str">
            <v>21- 23 Dalrymple Rd</v>
          </cell>
          <cell r="AG248" t="str">
            <v>Carbutt</v>
          </cell>
          <cell r="AH248" t="str">
            <v>4814</v>
          </cell>
          <cell r="AP248" t="str">
            <v>No</v>
          </cell>
        </row>
        <row r="249">
          <cell r="K249">
            <v>1</v>
          </cell>
          <cell r="L249">
            <v>1</v>
          </cell>
          <cell r="M249">
            <v>1</v>
          </cell>
          <cell r="N249">
            <v>1</v>
          </cell>
          <cell r="O249">
            <v>1</v>
          </cell>
          <cell r="P249">
            <v>1</v>
          </cell>
          <cell r="Q249">
            <v>1</v>
          </cell>
          <cell r="R249">
            <v>1</v>
          </cell>
          <cell r="S249">
            <v>1</v>
          </cell>
          <cell r="T249" t="str">
            <v>RTO - Current - Application Approved</v>
          </cell>
          <cell r="AA249" t="str">
            <v>91694</v>
          </cell>
          <cell r="AB249" t="str">
            <v>Safety Corp Pty Ltd</v>
          </cell>
          <cell r="AC249" t="str">
            <v>Care Skills Group</v>
          </cell>
          <cell r="AD249" t="str">
            <v>71 131 681 395</v>
          </cell>
          <cell r="AE249" t="str">
            <v>Susan Devlin (CEO); Mr Karl Pfeuffer (Manager)</v>
          </cell>
          <cell r="AF249" t="str">
            <v>305/66 Berry Street</v>
          </cell>
          <cell r="AG249" t="str">
            <v>North Sydney</v>
          </cell>
          <cell r="AH249" t="str">
            <v>2060</v>
          </cell>
          <cell r="AP249" t="str">
            <v>No</v>
          </cell>
        </row>
        <row r="250">
          <cell r="T250" t="str">
            <v>RTO - Terminated by RTO</v>
          </cell>
          <cell r="AA250" t="str">
            <v>0427</v>
          </cell>
          <cell r="AB250" t="str">
            <v>Sarina Russo Schools Australia Pty Ltd</v>
          </cell>
          <cell r="AC250" t="str">
            <v>N/A</v>
          </cell>
          <cell r="AD250" t="str">
            <v>39 010 129 325</v>
          </cell>
          <cell r="AE250" t="str">
            <v>Ms Kathleen Newcombe</v>
          </cell>
          <cell r="AF250" t="str">
            <v>100 Eagle Street</v>
          </cell>
          <cell r="AG250" t="str">
            <v>Brisbane</v>
          </cell>
          <cell r="AH250" t="str">
            <v>4000</v>
          </cell>
        </row>
        <row r="251">
          <cell r="T251" t="str">
            <v>RTO - Terminated by RTO</v>
          </cell>
          <cell r="AA251" t="str">
            <v>31986</v>
          </cell>
          <cell r="AB251" t="str">
            <v>Sejumi Pty Ltd</v>
          </cell>
          <cell r="AC251" t="str">
            <v>Sejumi Institute for Further Education</v>
          </cell>
          <cell r="AD251" t="str">
            <v>54 125 723 337</v>
          </cell>
          <cell r="AE251" t="str">
            <v>Mr Steve Edwards</v>
          </cell>
          <cell r="AF251" t="str">
            <v>330 Sheridan Street</v>
          </cell>
          <cell r="AG251" t="str">
            <v>Nth Cairns</v>
          </cell>
          <cell r="AH251" t="str">
            <v>4870</v>
          </cell>
        </row>
        <row r="252">
          <cell r="K252">
            <v>1</v>
          </cell>
          <cell r="L252">
            <v>1</v>
          </cell>
          <cell r="M252">
            <v>1</v>
          </cell>
          <cell r="N252">
            <v>1</v>
          </cell>
          <cell r="O252">
            <v>1</v>
          </cell>
          <cell r="P252">
            <v>1</v>
          </cell>
          <cell r="Q252">
            <v>1</v>
          </cell>
          <cell r="R252">
            <v>1</v>
          </cell>
          <cell r="S252">
            <v>1</v>
          </cell>
          <cell r="T252" t="str">
            <v>RTO - Terminated - ASQA Registration/Scope Ended</v>
          </cell>
          <cell r="AA252" t="str">
            <v>21122</v>
          </cell>
          <cell r="AB252" t="str">
            <v>Seluna Pty Ltd </v>
          </cell>
          <cell r="AC252" t="str">
            <v>International Institute for Professional Development; Australian IT and Hospitality Institute</v>
          </cell>
          <cell r="AD252" t="str">
            <v>64 067 132 405</v>
          </cell>
          <cell r="AE252" t="str">
            <v>Mr Mohammad Khan</v>
          </cell>
          <cell r="AF252" t="str">
            <v>Suite 1-6, 79 Paisley Street</v>
          </cell>
          <cell r="AG252" t="str">
            <v>Footscray</v>
          </cell>
          <cell r="AH252" t="str">
            <v>3011</v>
          </cell>
        </row>
        <row r="253">
          <cell r="T253" t="str">
            <v>RTO - Terminated by RTO</v>
          </cell>
          <cell r="AA253" t="str">
            <v>51790</v>
          </cell>
          <cell r="AB253" t="str">
            <v>Serco Australia Pty Ltd</v>
          </cell>
          <cell r="AC253" t="str">
            <v>N/A</v>
          </cell>
          <cell r="AD253" t="str">
            <v>44 003 677 352</v>
          </cell>
          <cell r="AE253" t="str">
            <v>Ms Dimity Smith</v>
          </cell>
          <cell r="AF253" t="str">
            <v>Suite 1, LvL 23, 60 Margaret Street</v>
          </cell>
          <cell r="AG253" t="str">
            <v>Sydney</v>
          </cell>
          <cell r="AH253" t="str">
            <v>2000</v>
          </cell>
        </row>
        <row r="254">
          <cell r="T254" t="str">
            <v>RTO - Terminated by RTO</v>
          </cell>
          <cell r="AA254" t="str">
            <v>2646</v>
          </cell>
          <cell r="AB254" t="str">
            <v>SGS Australia Pty Ltd</v>
          </cell>
          <cell r="AC254" t="str">
            <v>N/A</v>
          </cell>
          <cell r="AD254" t="str">
            <v>44 000 964 278</v>
          </cell>
          <cell r="AE254" t="str">
            <v>Mr Roderick Beath</v>
          </cell>
          <cell r="AF254" t="str">
            <v>480 Princess Highway, 480 Princess Highway</v>
          </cell>
          <cell r="AG254" t="str">
            <v>Noble Park</v>
          </cell>
          <cell r="AH254" t="str">
            <v>3174</v>
          </cell>
        </row>
        <row r="255">
          <cell r="K255">
            <v>1</v>
          </cell>
          <cell r="L255">
            <v>1</v>
          </cell>
          <cell r="M255">
            <v>1</v>
          </cell>
          <cell r="N255">
            <v>1</v>
          </cell>
          <cell r="O255">
            <v>1</v>
          </cell>
          <cell r="P255">
            <v>1</v>
          </cell>
          <cell r="Q255">
            <v>1</v>
          </cell>
          <cell r="R255">
            <v>1</v>
          </cell>
          <cell r="S255">
            <v>1</v>
          </cell>
          <cell r="T255" t="str">
            <v>RTO - Terminated by RTO</v>
          </cell>
          <cell r="AA255" t="str">
            <v>40478</v>
          </cell>
          <cell r="AB255" t="str">
            <v>Sharp Mining Industry Training Pty Ltd</v>
          </cell>
          <cell r="AC255" t="str">
            <v>Sharp5</v>
          </cell>
          <cell r="AD255" t="str">
            <v>78 104 240 155</v>
          </cell>
          <cell r="AE255" t="str">
            <v>Mr James McNamara (CEO); Ms Rebecca Paech (Administration Manager)</v>
          </cell>
          <cell r="AF255" t="str">
            <v>Shop 1, 42 East Gordon Street</v>
          </cell>
          <cell r="AG255" t="str">
            <v>Mackay</v>
          </cell>
          <cell r="AH255" t="str">
            <v>4740</v>
          </cell>
          <cell r="AP255" t="str">
            <v>No</v>
          </cell>
        </row>
        <row r="256">
          <cell r="K256">
            <v>1</v>
          </cell>
          <cell r="L256">
            <v>1</v>
          </cell>
          <cell r="M256">
            <v>1</v>
          </cell>
          <cell r="N256">
            <v>1</v>
          </cell>
          <cell r="O256">
            <v>1</v>
          </cell>
          <cell r="P256">
            <v>1</v>
          </cell>
          <cell r="Q256">
            <v>1</v>
          </cell>
          <cell r="R256">
            <v>1</v>
          </cell>
          <cell r="S256">
            <v>1</v>
          </cell>
          <cell r="T256" t="str">
            <v>RTO - Terminated - ASQA Registration/Scope Ended</v>
          </cell>
          <cell r="AA256" t="str">
            <v>32531</v>
          </cell>
          <cell r="AB256" t="str">
            <v>Site Skills Group Pty Ltd</v>
          </cell>
          <cell r="AC256" t="str">
            <v>Site Skills Training</v>
          </cell>
          <cell r="AD256" t="str">
            <v>37 153 744 417</v>
          </cell>
          <cell r="AE256" t="str">
            <v>Mr Eric Whittington</v>
          </cell>
          <cell r="AF256" t="str">
            <v>1 Campion Rd</v>
          </cell>
          <cell r="AG256" t="str">
            <v>East Arm</v>
          </cell>
          <cell r="AH256" t="str">
            <v>0822</v>
          </cell>
        </row>
        <row r="257">
          <cell r="K257">
            <v>1</v>
          </cell>
          <cell r="L257">
            <v>1</v>
          </cell>
          <cell r="M257">
            <v>1</v>
          </cell>
          <cell r="N257">
            <v>1</v>
          </cell>
          <cell r="O257">
            <v>1</v>
          </cell>
          <cell r="P257">
            <v>1</v>
          </cell>
          <cell r="Q257">
            <v>1</v>
          </cell>
          <cell r="R257">
            <v>1</v>
          </cell>
          <cell r="S257">
            <v>1</v>
          </cell>
          <cell r="T257" t="str">
            <v>RTO - Current - Application Approved</v>
          </cell>
          <cell r="AA257" t="str">
            <v>0709</v>
          </cell>
          <cell r="AB257" t="str">
            <v>Skill Centred Queensland Incorporated</v>
          </cell>
          <cell r="AC257" t="str">
            <v>Skill Centred</v>
          </cell>
          <cell r="AD257" t="str">
            <v>45 993 018 598</v>
          </cell>
          <cell r="AE257" t="str">
            <v>Ms Alicia Gibson (CEO); Ms Tammy Stewart (Manager)</v>
          </cell>
          <cell r="AF257" t="str">
            <v>214 Mary Street</v>
          </cell>
          <cell r="AG257" t="str">
            <v>Gympie</v>
          </cell>
          <cell r="AH257" t="str">
            <v>4570</v>
          </cell>
          <cell r="AP257" t="str">
            <v>No</v>
          </cell>
        </row>
        <row r="258">
          <cell r="K258">
            <v>1</v>
          </cell>
          <cell r="L258">
            <v>1</v>
          </cell>
          <cell r="M258">
            <v>1</v>
          </cell>
          <cell r="N258">
            <v>1</v>
          </cell>
          <cell r="O258">
            <v>1</v>
          </cell>
          <cell r="P258">
            <v>1</v>
          </cell>
          <cell r="Q258">
            <v>1</v>
          </cell>
          <cell r="R258">
            <v>1</v>
          </cell>
          <cell r="S258">
            <v>1</v>
          </cell>
          <cell r="T258" t="str">
            <v>RTO - Current - Application Approved</v>
          </cell>
          <cell r="AA258" t="str">
            <v>1607</v>
          </cell>
          <cell r="AB258" t="str">
            <v>Skill360 Australia Pty Ltd</v>
          </cell>
          <cell r="AC258" t="str">
            <v>Slill360 Australia</v>
          </cell>
          <cell r="AD258" t="str">
            <v>68 010 553 965</v>
          </cell>
          <cell r="AE258" t="str">
            <v>Mr Leonie Carlile (CEO); Mr Geoff Chant (Training Manager); Sonia Hosie (RTO Manager)</v>
          </cell>
          <cell r="AF258" t="str">
            <v>1 Wilkinson St</v>
          </cell>
          <cell r="AG258" t="str">
            <v>Manunda</v>
          </cell>
          <cell r="AH258" t="str">
            <v>4870</v>
          </cell>
          <cell r="AP258" t="str">
            <v>No</v>
          </cell>
        </row>
        <row r="259">
          <cell r="T259" t="str">
            <v>RTO - Terminated by RTO</v>
          </cell>
          <cell r="AA259" t="str">
            <v>110043</v>
          </cell>
          <cell r="AB259" t="str">
            <v>Programmed Skilled Workforce Limited</v>
          </cell>
          <cell r="AC259" t="str">
            <v>Skilled Group Limited</v>
          </cell>
          <cell r="AD259" t="str">
            <v>66 005 585 811</v>
          </cell>
          <cell r="AE259" t="str">
            <v>Ms Petrina Wetzel</v>
          </cell>
          <cell r="AF259" t="str">
            <v>Level 1 333 Collins St</v>
          </cell>
          <cell r="AG259" t="str">
            <v>Melbourne</v>
          </cell>
          <cell r="AH259" t="str">
            <v>3000</v>
          </cell>
        </row>
        <row r="260">
          <cell r="K260">
            <v>1</v>
          </cell>
          <cell r="L260">
            <v>1</v>
          </cell>
          <cell r="M260">
            <v>1</v>
          </cell>
          <cell r="N260">
            <v>1</v>
          </cell>
          <cell r="O260">
            <v>1</v>
          </cell>
          <cell r="P260">
            <v>1</v>
          </cell>
          <cell r="Q260">
            <v>1</v>
          </cell>
          <cell r="R260">
            <v>1</v>
          </cell>
          <cell r="S260">
            <v>1</v>
          </cell>
          <cell r="T260" t="str">
            <v>RTO - Terminated by RTO</v>
          </cell>
          <cell r="AA260" t="str">
            <v>91755</v>
          </cell>
          <cell r="AB260" t="str">
            <v>Skilled Rail Services Pty Ltd</v>
          </cell>
          <cell r="AC260" t="str">
            <v>N/A</v>
          </cell>
          <cell r="AD260" t="str">
            <v>49 093 222 443</v>
          </cell>
          <cell r="AE260" t="str">
            <v>Ms Petrina Wetzel</v>
          </cell>
          <cell r="AF260" t="str">
            <v>Level 2,  4A Lord Street</v>
          </cell>
          <cell r="AG260" t="str">
            <v>Botany</v>
          </cell>
          <cell r="AH260" t="str">
            <v>2019</v>
          </cell>
        </row>
        <row r="261">
          <cell r="T261" t="str">
            <v>RTO - Terminated by WHSQ</v>
          </cell>
          <cell r="AA261" t="str">
            <v>40579</v>
          </cell>
          <cell r="AB261" t="str">
            <v>Skilling Australia Limited</v>
          </cell>
          <cell r="AC261" t="str">
            <v>N/A</v>
          </cell>
          <cell r="AD261" t="str">
            <v>92 158 869 679</v>
          </cell>
          <cell r="AE261" t="str">
            <v>Mr Phillip A Smith</v>
          </cell>
          <cell r="AF261" t="str">
            <v>Level 5, 1 Alfred Street</v>
          </cell>
          <cell r="AG261" t="str">
            <v>Sydney</v>
          </cell>
          <cell r="AH261" t="str">
            <v>2001</v>
          </cell>
        </row>
        <row r="262">
          <cell r="T262" t="str">
            <v>RTO - Terminated - ASQA Registration/Scope Ended</v>
          </cell>
          <cell r="AA262" t="str">
            <v>41382</v>
          </cell>
          <cell r="AB262" t="str">
            <v>Skills Compliance Pty Ltd</v>
          </cell>
          <cell r="AC262" t="str">
            <v>N/A</v>
          </cell>
          <cell r="AD262" t="str">
            <v>31 603 795 802</v>
          </cell>
          <cell r="AE262" t="str">
            <v>Ms. Megan Robinson</v>
          </cell>
          <cell r="AF262" t="str">
            <v>Unit 7, 120 Sutton Street</v>
          </cell>
          <cell r="AG262" t="str">
            <v>Redcliffe</v>
          </cell>
          <cell r="AH262" t="str">
            <v>4020</v>
          </cell>
        </row>
        <row r="263">
          <cell r="T263" t="str">
            <v>RTO - Terminated by RTO</v>
          </cell>
          <cell r="AA263" t="str">
            <v>90732</v>
          </cell>
          <cell r="AB263" t="str">
            <v>Southern Cross Rail Training Pty Ltd</v>
          </cell>
          <cell r="AC263" t="str">
            <v>N/A</v>
          </cell>
          <cell r="AD263" t="str">
            <v>75 084 533 317</v>
          </cell>
          <cell r="AE263" t="str">
            <v>Mr Maurice Johnson</v>
          </cell>
          <cell r="AF263" t="str">
            <v>Level 1, 7/4 Brunker Road</v>
          </cell>
          <cell r="AG263" t="str">
            <v>Chullora</v>
          </cell>
          <cell r="AH263" t="str">
            <v>2190</v>
          </cell>
        </row>
        <row r="264"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 t="str">
            <v>RTO - Current - Application Approved</v>
          </cell>
          <cell r="AA264" t="str">
            <v>30484</v>
          </cell>
          <cell r="AB264" t="str">
            <v>Stanthorpe State High School</v>
          </cell>
          <cell r="AC264" t="str">
            <v>N/A</v>
          </cell>
          <cell r="AE264" t="str">
            <v>Mr Justin Kuskie (Principal); Mr Jonathon Bushby (RTO Manager)</v>
          </cell>
          <cell r="AF264" t="str">
            <v>2 McGlew Street</v>
          </cell>
          <cell r="AG264" t="str">
            <v>Stanthorpe, QLD</v>
          </cell>
          <cell r="AH264" t="str">
            <v>4380</v>
          </cell>
          <cell r="AP264" t="str">
            <v>Yes</v>
          </cell>
        </row>
        <row r="265">
          <cell r="K265">
            <v>1</v>
          </cell>
          <cell r="L265">
            <v>1</v>
          </cell>
          <cell r="M265">
            <v>1</v>
          </cell>
          <cell r="N265">
            <v>1</v>
          </cell>
          <cell r="O265">
            <v>1</v>
          </cell>
          <cell r="P265">
            <v>1</v>
          </cell>
          <cell r="Q265">
            <v>1</v>
          </cell>
          <cell r="R265">
            <v>1</v>
          </cell>
          <cell r="S265">
            <v>1</v>
          </cell>
          <cell r="T265" t="str">
            <v>RTO - Terminated by RTO</v>
          </cell>
          <cell r="AA265" t="str">
            <v>21830</v>
          </cell>
          <cell r="AB265" t="str">
            <v>Star Training &amp; Assessing Pty Ltd</v>
          </cell>
          <cell r="AC265" t="str">
            <v>Star Training &amp; Assessing Pty Ltd</v>
          </cell>
          <cell r="AD265" t="str">
            <v>14 146 424 786</v>
          </cell>
          <cell r="AE265" t="str">
            <v>Mr Keith Steedman</v>
          </cell>
          <cell r="AF265" t="str">
            <v>16 Laster Drive</v>
          </cell>
          <cell r="AG265" t="str">
            <v>Rowville</v>
          </cell>
          <cell r="AH265" t="str">
            <v>3178</v>
          </cell>
        </row>
        <row r="266">
          <cell r="K266">
            <v>43959</v>
          </cell>
          <cell r="L266">
            <v>1</v>
          </cell>
          <cell r="M266">
            <v>1</v>
          </cell>
          <cell r="N266">
            <v>43962</v>
          </cell>
          <cell r="O266">
            <v>43908</v>
          </cell>
          <cell r="P266">
            <v>1</v>
          </cell>
          <cell r="Q266">
            <v>1</v>
          </cell>
          <cell r="R266">
            <v>1</v>
          </cell>
          <cell r="S266">
            <v>1</v>
          </cell>
          <cell r="T266" t="str">
            <v>RTO - Terminated by RTO</v>
          </cell>
          <cell r="AA266" t="str">
            <v>40963</v>
          </cell>
          <cell r="AB266" t="str">
            <v>Stay Safe Industry Training Pty Ltd</v>
          </cell>
          <cell r="AC266" t="str">
            <v>N/A</v>
          </cell>
          <cell r="AD266" t="str">
            <v>64 165 768 696</v>
          </cell>
          <cell r="AE266" t="str">
            <v>Ms Louise Vause</v>
          </cell>
          <cell r="AF266" t="str">
            <v>U76/66 The Ave</v>
          </cell>
          <cell r="AG266" t="str">
            <v>Peregian Springs</v>
          </cell>
          <cell r="AH266" t="str">
            <v>4573</v>
          </cell>
        </row>
        <row r="267">
          <cell r="K267">
            <v>1</v>
          </cell>
          <cell r="L267">
            <v>1</v>
          </cell>
          <cell r="M267">
            <v>1</v>
          </cell>
          <cell r="N267">
            <v>1</v>
          </cell>
          <cell r="O267">
            <v>1</v>
          </cell>
          <cell r="P267">
            <v>1</v>
          </cell>
          <cell r="Q267">
            <v>1</v>
          </cell>
          <cell r="R267">
            <v>1</v>
          </cell>
          <cell r="S267">
            <v>1</v>
          </cell>
          <cell r="T267" t="str">
            <v>RTO - Current - Application Approved</v>
          </cell>
          <cell r="AA267" t="str">
            <v>32505</v>
          </cell>
          <cell r="AB267" t="str">
            <v>Strategic Health Services Pty Ltd</v>
          </cell>
          <cell r="AC267" t="str">
            <v>SDS Training</v>
          </cell>
          <cell r="AD267" t="str">
            <v>84 101 203 481</v>
          </cell>
          <cell r="AE267" t="str">
            <v>Ms Sharon Gough (CEO); Ms Tracy Robinson (Manager)</v>
          </cell>
          <cell r="AF267" t="str">
            <v>185 Nerada Rd</v>
          </cell>
          <cell r="AG267" t="str">
            <v>Maryborough</v>
          </cell>
          <cell r="AH267" t="str">
            <v>4650</v>
          </cell>
          <cell r="AP267" t="str">
            <v>No</v>
          </cell>
        </row>
        <row r="268">
          <cell r="T268" t="str">
            <v>RTO - Terminated by RTO</v>
          </cell>
          <cell r="AA268" t="str">
            <v>40249</v>
          </cell>
          <cell r="AB268" t="str">
            <v>Stokes Workplace Assessment Training Group Pty Ltd (SWAT)</v>
          </cell>
          <cell r="AC268" t="str">
            <v>South Australian Training Brokers</v>
          </cell>
          <cell r="AD268" t="str">
            <v>40 118 195 145</v>
          </cell>
          <cell r="AE268" t="str">
            <v>Mr Benjamin Stokes</v>
          </cell>
          <cell r="AF268" t="str">
            <v>3 Refinery Road</v>
          </cell>
          <cell r="AG268" t="str">
            <v>Lonsdale</v>
          </cell>
          <cell r="AH268" t="str">
            <v>5160</v>
          </cell>
        </row>
        <row r="269">
          <cell r="K269">
            <v>1</v>
          </cell>
          <cell r="L269">
            <v>1</v>
          </cell>
          <cell r="M269">
            <v>1</v>
          </cell>
          <cell r="N269">
            <v>1</v>
          </cell>
          <cell r="O269">
            <v>1</v>
          </cell>
          <cell r="P269">
            <v>1</v>
          </cell>
          <cell r="Q269">
            <v>1</v>
          </cell>
          <cell r="R269">
            <v>1</v>
          </cell>
          <cell r="S269">
            <v>1</v>
          </cell>
          <cell r="T269" t="str">
            <v>RTO - Current - Application Approved</v>
          </cell>
          <cell r="AA269" t="str">
            <v>32199</v>
          </cell>
          <cell r="AB269" t="str">
            <v>SWQ Training Pty Ltd</v>
          </cell>
          <cell r="AC269" t="str">
            <v>N/A</v>
          </cell>
          <cell r="AD269" t="str">
            <v>76 121 146 978</v>
          </cell>
          <cell r="AE269" t="str">
            <v>Mr Mathew O'Shannessy (CEO); Miss Shannon Leslie(Office Supervisor)</v>
          </cell>
          <cell r="AF269" t="str">
            <v>46- 48 Croft Cres</v>
          </cell>
          <cell r="AG269" t="str">
            <v>Harristown</v>
          </cell>
          <cell r="AH269" t="str">
            <v>4350</v>
          </cell>
          <cell r="AP269" t="str">
            <v>No</v>
          </cell>
        </row>
        <row r="270">
          <cell r="T270" t="str">
            <v>RTO - Terminated by RTO</v>
          </cell>
          <cell r="AA270" t="str">
            <v>40053</v>
          </cell>
          <cell r="AB270" t="str">
            <v>SYC Ltd</v>
          </cell>
          <cell r="AC270" t="str">
            <v>Training Prospect</v>
          </cell>
          <cell r="AD270" t="str">
            <v>27 167 737 144</v>
          </cell>
          <cell r="AE270" t="str">
            <v>Mr Paul Edginton</v>
          </cell>
          <cell r="AF270" t="str">
            <v>135 Currie Street</v>
          </cell>
          <cell r="AG270" t="str">
            <v>Adelaide</v>
          </cell>
          <cell r="AH270" t="str">
            <v>5000</v>
          </cell>
        </row>
        <row r="271">
          <cell r="K271">
            <v>43980</v>
          </cell>
          <cell r="L271">
            <v>1</v>
          </cell>
          <cell r="M271">
            <v>43981</v>
          </cell>
          <cell r="N271">
            <v>1</v>
          </cell>
          <cell r="O271">
            <v>1</v>
          </cell>
          <cell r="P271">
            <v>1</v>
          </cell>
          <cell r="Q271">
            <v>1</v>
          </cell>
          <cell r="R271">
            <v>1</v>
          </cell>
          <cell r="S271">
            <v>1</v>
          </cell>
          <cell r="T271" t="str">
            <v>RTO - Current - Application Approved</v>
          </cell>
          <cell r="AA271" t="str">
            <v>0275</v>
          </cell>
          <cell r="AB271" t="str">
            <v>TAFE Queensland</v>
          </cell>
          <cell r="AC271" t="str">
            <v>TAFE Queensland</v>
          </cell>
          <cell r="AD271" t="str">
            <v>72 898 805 093</v>
          </cell>
          <cell r="AE271" t="str">
            <v>Mr John Tucker (CEO); Ms Carmel Guy (Director)</v>
          </cell>
          <cell r="AF271" t="str">
            <v>1030 Cavendish Rd</v>
          </cell>
          <cell r="AG271" t="str">
            <v>Mount Gravatt</v>
          </cell>
          <cell r="AH271" t="str">
            <v>4122</v>
          </cell>
          <cell r="AP271" t="str">
            <v>No</v>
          </cell>
        </row>
        <row r="272">
          <cell r="T272" t="str">
            <v>RTO - Terminated by RTO</v>
          </cell>
          <cell r="AA272" t="str">
            <v>31396</v>
          </cell>
          <cell r="AB272" t="str">
            <v>TAFE Queensland</v>
          </cell>
          <cell r="AC272" t="str">
            <v>N/A</v>
          </cell>
          <cell r="AE272" t="str">
            <v>Ms Mary Campbell</v>
          </cell>
          <cell r="AF272" t="str">
            <v>N/A</v>
          </cell>
          <cell r="AG272" t="str">
            <v>N/A</v>
          </cell>
          <cell r="AH272" t="str">
            <v>0000</v>
          </cell>
        </row>
        <row r="273">
          <cell r="T273" t="str">
            <v>RTO - Terminated by RTO</v>
          </cell>
          <cell r="AA273" t="str">
            <v>0418</v>
          </cell>
          <cell r="AB273" t="str">
            <v>TAFE Queensland East Coast</v>
          </cell>
          <cell r="AC273" t="str">
            <v>N/A</v>
          </cell>
          <cell r="AD273" t="str">
            <v>72 898 805 093</v>
          </cell>
          <cell r="AE273" t="str">
            <v>Mr Paul Wilson</v>
          </cell>
          <cell r="AF273" t="str">
            <v>34 Lady Musgrave Drive</v>
          </cell>
          <cell r="AG273" t="str">
            <v>Mountain Creek</v>
          </cell>
          <cell r="AH273" t="str">
            <v>4557</v>
          </cell>
        </row>
        <row r="274">
          <cell r="K274">
            <v>1</v>
          </cell>
          <cell r="L274">
            <v>1</v>
          </cell>
          <cell r="M274">
            <v>1</v>
          </cell>
          <cell r="N274">
            <v>1</v>
          </cell>
          <cell r="O274">
            <v>1</v>
          </cell>
          <cell r="P274">
            <v>1</v>
          </cell>
          <cell r="Q274">
            <v>1</v>
          </cell>
          <cell r="R274">
            <v>1</v>
          </cell>
          <cell r="S274">
            <v>1</v>
          </cell>
          <cell r="T274" t="str">
            <v>RTO - Terminated by RTO</v>
          </cell>
          <cell r="AA274" t="str">
            <v>0083</v>
          </cell>
          <cell r="AB274" t="str">
            <v>TAFE Queensland Gold Coast</v>
          </cell>
          <cell r="AC274" t="str">
            <v>N/A</v>
          </cell>
          <cell r="AD274" t="str">
            <v>72 898 805 093</v>
          </cell>
          <cell r="AE274" t="str">
            <v>Ms Jenny Dodd</v>
          </cell>
          <cell r="AF274" t="str">
            <v>91-99 Scarborough Street</v>
          </cell>
          <cell r="AG274" t="str">
            <v>Southport</v>
          </cell>
          <cell r="AH274" t="str">
            <v>4215</v>
          </cell>
        </row>
        <row r="275">
          <cell r="T275" t="str">
            <v>RTO - Terminated by RTO</v>
          </cell>
          <cell r="AA275" t="str">
            <v>0542</v>
          </cell>
          <cell r="AB275" t="str">
            <v>TAFE Queensland North</v>
          </cell>
          <cell r="AC275" t="str">
            <v>N/A</v>
          </cell>
          <cell r="AD275" t="str">
            <v>72 898 805 093</v>
          </cell>
          <cell r="AE275" t="str">
            <v>Mr Wade Sharpley</v>
          </cell>
          <cell r="AF275" t="str">
            <v>Wilkinson Street</v>
          </cell>
          <cell r="AG275" t="str">
            <v>Manunda</v>
          </cell>
          <cell r="AH275" t="str">
            <v>4870</v>
          </cell>
        </row>
        <row r="276">
          <cell r="T276" t="str">
            <v>RTO - Terminated by RTO</v>
          </cell>
          <cell r="AA276" t="str">
            <v>0526</v>
          </cell>
          <cell r="AB276" t="str">
            <v>TAFE Queensland South West</v>
          </cell>
          <cell r="AC276" t="str">
            <v>N/A</v>
          </cell>
          <cell r="AD276" t="str">
            <v>72 898 805 093</v>
          </cell>
          <cell r="AE276" t="str">
            <v>Mr Brent Kinnane</v>
          </cell>
          <cell r="AF276" t="str">
            <v>100 Bridge Street</v>
          </cell>
          <cell r="AG276" t="str">
            <v>Toowoomba</v>
          </cell>
          <cell r="AH276" t="str">
            <v>4350</v>
          </cell>
        </row>
        <row r="277"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 t="str">
            <v>RTO - Current - Application Approved</v>
          </cell>
          <cell r="AA277" t="str">
            <v>31444</v>
          </cell>
          <cell r="AB277" t="str">
            <v>TEC-NQ Limited</v>
          </cell>
          <cell r="AC277" t="str">
            <v>TEC-NQ</v>
          </cell>
          <cell r="AD277" t="str">
            <v>15 117 072 303</v>
          </cell>
          <cell r="AE277" t="str">
            <v>Mr Ross Jorgensen (CEO); Ms Jennifer Trybula (RTO Manager)</v>
          </cell>
          <cell r="AF277" t="str">
            <v>54 Discovery Drive</v>
          </cell>
          <cell r="AG277" t="str">
            <v>Douglas</v>
          </cell>
          <cell r="AH277" t="str">
            <v>4814</v>
          </cell>
          <cell r="AP277" t="str">
            <v>No</v>
          </cell>
        </row>
        <row r="278"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 t="str">
            <v>RTO - Application Received</v>
          </cell>
          <cell r="AA278" t="str">
            <v>32350</v>
          </cell>
          <cell r="AB278" t="str">
            <v>The Learning Collaborative Pty Ltd</v>
          </cell>
          <cell r="AC278" t="str">
            <v>The Learning Collaborative Pty Ltd</v>
          </cell>
          <cell r="AD278" t="str">
            <v>44 147 021 805</v>
          </cell>
          <cell r="AE278" t="str">
            <v>Mr Christopher Morffew (Admin Manager); Santina Morffew (CEO)</v>
          </cell>
          <cell r="AF278" t="str">
            <v>5036 /33 Robin Town Centre Dr</v>
          </cell>
          <cell r="AG278" t="str">
            <v>Robina</v>
          </cell>
          <cell r="AH278" t="str">
            <v>4230</v>
          </cell>
          <cell r="AP278" t="str">
            <v>No</v>
          </cell>
        </row>
        <row r="279">
          <cell r="T279" t="str">
            <v>RTO - Terminated by RTO</v>
          </cell>
          <cell r="AA279" t="str">
            <v>31239</v>
          </cell>
          <cell r="AB279" t="str">
            <v>The Service Trades College Australia (RTO) Pty Ltd</v>
          </cell>
          <cell r="AC279" t="str">
            <v>N/A</v>
          </cell>
          <cell r="AD279" t="str">
            <v>50 109 049 096</v>
          </cell>
          <cell r="AE279" t="str">
            <v>Mirjana Obradovic</v>
          </cell>
          <cell r="AF279" t="str">
            <v>460- 492 Beaudesert Rd</v>
          </cell>
          <cell r="AG279" t="str">
            <v>Salisbury</v>
          </cell>
          <cell r="AH279" t="str">
            <v>4107</v>
          </cell>
        </row>
        <row r="280">
          <cell r="T280" t="str">
            <v>RTO - Terminated by RTO</v>
          </cell>
          <cell r="AA280" t="str">
            <v>32570</v>
          </cell>
          <cell r="AB280" t="str">
            <v>The Terra Firma Training Company Pty Ltd</v>
          </cell>
          <cell r="AC280" t="str">
            <v>N/A</v>
          </cell>
          <cell r="AD280" t="str">
            <v>96 120 357 691</v>
          </cell>
          <cell r="AE280" t="str">
            <v>Mrs Veronica Partridge</v>
          </cell>
          <cell r="AF280" t="str">
            <v>567 STRATHDICKIE RD</v>
          </cell>
          <cell r="AG280" t="str">
            <v>Strathdickie</v>
          </cell>
          <cell r="AH280" t="str">
            <v>4800</v>
          </cell>
        </row>
        <row r="281">
          <cell r="T281" t="str">
            <v>RTO - Terminated - ASQA Registration/Scope Ended</v>
          </cell>
          <cell r="AA281" t="str">
            <v>30324</v>
          </cell>
          <cell r="AB281" t="str">
            <v>The Uniting Church in Australia Property Trust </v>
          </cell>
          <cell r="AC281" t="str">
            <v>Shalom Christian College</v>
          </cell>
          <cell r="AD281" t="str">
            <v>93 010 941 689</v>
          </cell>
          <cell r="AE281" t="str">
            <v>Mr Harvey Magnan</v>
          </cell>
          <cell r="AF281" t="str">
            <v>190 Hervey Range Road</v>
          </cell>
          <cell r="AG281" t="str">
            <v>Condon</v>
          </cell>
          <cell r="AH281" t="str">
            <v>4815</v>
          </cell>
        </row>
        <row r="282">
          <cell r="T282" t="str">
            <v>RTO - Terminated by RTO</v>
          </cell>
          <cell r="AA282" t="str">
            <v>91614</v>
          </cell>
          <cell r="AB282" t="str">
            <v>Ton Ton Song Pty Ltd</v>
          </cell>
          <cell r="AC282" t="str">
            <v>The Coffee School</v>
          </cell>
          <cell r="AD282" t="str">
            <v>92 115 419 988</v>
          </cell>
          <cell r="AE282" t="str">
            <v>Mr Dan Benmayor</v>
          </cell>
          <cell r="AF282" t="str">
            <v>787 George Street</v>
          </cell>
          <cell r="AG282" t="str">
            <v>Haymarket</v>
          </cell>
          <cell r="AH282" t="str">
            <v>2000</v>
          </cell>
        </row>
        <row r="283">
          <cell r="T283" t="str">
            <v>RTO - Terminated by RTO</v>
          </cell>
          <cell r="AA283" t="str">
            <v>50503</v>
          </cell>
          <cell r="AB283" t="str">
            <v>Tony Aveling and Associates Pty Ltd</v>
          </cell>
          <cell r="AC283" t="str">
            <v>Aveling</v>
          </cell>
          <cell r="AD283" t="str">
            <v>58 079 264 654</v>
          </cell>
          <cell r="AE283" t="str">
            <v>Mr Tony Aveling</v>
          </cell>
          <cell r="AF283" t="str">
            <v>6 Orion Road</v>
          </cell>
          <cell r="AG283" t="str">
            <v>Jandakot</v>
          </cell>
          <cell r="AH283" t="str">
            <v>6164</v>
          </cell>
        </row>
        <row r="284">
          <cell r="K284">
            <v>1</v>
          </cell>
          <cell r="L284">
            <v>1</v>
          </cell>
          <cell r="M284">
            <v>1</v>
          </cell>
          <cell r="N284">
            <v>1</v>
          </cell>
          <cell r="O284">
            <v>1</v>
          </cell>
          <cell r="P284">
            <v>1</v>
          </cell>
          <cell r="Q284">
            <v>1</v>
          </cell>
          <cell r="R284">
            <v>1</v>
          </cell>
          <cell r="S284">
            <v>1</v>
          </cell>
          <cell r="T284" t="str">
            <v>RTO - Terminated by RTO</v>
          </cell>
          <cell r="AA284" t="str">
            <v>1719</v>
          </cell>
          <cell r="AB284" t="str">
            <v>Toowoomba Regional Group Apprenticeship Pty Ltd</v>
          </cell>
          <cell r="AC284" t="str">
            <v>DGT Employment and Training</v>
          </cell>
          <cell r="AD284" t="str">
            <v>82 010 704 613</v>
          </cell>
          <cell r="AE284" t="str">
            <v>Ms Christine Zechowski (CEO); Mr Ben Oliver (Operations Manager)</v>
          </cell>
          <cell r="AF284" t="str">
            <v>56 Duhig St</v>
          </cell>
          <cell r="AG284" t="str">
            <v>Harristown</v>
          </cell>
          <cell r="AH284" t="str">
            <v>4350</v>
          </cell>
          <cell r="AP284" t="str">
            <v>No</v>
          </cell>
        </row>
        <row r="285">
          <cell r="T285" t="str">
            <v>RTO - Terminated - ASQA Registration/Scope Ended</v>
          </cell>
          <cell r="AA285" t="str">
            <v>70037</v>
          </cell>
          <cell r="AB285" t="str">
            <v>Top End Training Services Pty Ltd atf Top End Development Services Trust</v>
          </cell>
          <cell r="AC285" t="str">
            <v>N/A</v>
          </cell>
          <cell r="AD285" t="str">
            <v>74 764 465 770</v>
          </cell>
          <cell r="AE285" t="str">
            <v>Mr Sam Gumina</v>
          </cell>
          <cell r="AF285" t="str">
            <v>67 Hughes Street</v>
          </cell>
          <cell r="AG285" t="str">
            <v>Ouyen</v>
          </cell>
          <cell r="AH285" t="str">
            <v>3490</v>
          </cell>
        </row>
        <row r="286">
          <cell r="T286" t="str">
            <v>RTO - Terminated - ASQA Registration/Scope Ended</v>
          </cell>
          <cell r="AA286" t="str">
            <v>1831</v>
          </cell>
          <cell r="AB286" t="str">
            <v>Train Assess Australia Pty Ltd</v>
          </cell>
          <cell r="AC286" t="str">
            <v>Caboolture College of Education and Training; Train Assess Australia</v>
          </cell>
          <cell r="AD286" t="str">
            <v>57 169 110 196</v>
          </cell>
          <cell r="AE286" t="str">
            <v>Mr Gary Bruce</v>
          </cell>
          <cell r="AF286" t="str">
            <v>9, 93 Burnside Road</v>
          </cell>
          <cell r="AG286" t="str">
            <v>Staplyton</v>
          </cell>
          <cell r="AH286" t="str">
            <v>4207</v>
          </cell>
        </row>
        <row r="287">
          <cell r="K287">
            <v>1</v>
          </cell>
          <cell r="L287">
            <v>1</v>
          </cell>
          <cell r="M287">
            <v>1</v>
          </cell>
          <cell r="N287">
            <v>1</v>
          </cell>
          <cell r="O287">
            <v>1</v>
          </cell>
          <cell r="P287">
            <v>1</v>
          </cell>
          <cell r="Q287">
            <v>1</v>
          </cell>
          <cell r="R287">
            <v>1</v>
          </cell>
          <cell r="S287">
            <v>1</v>
          </cell>
          <cell r="T287" t="str">
            <v>RTO - Current - Application Approved</v>
          </cell>
          <cell r="AA287" t="str">
            <v>91118</v>
          </cell>
          <cell r="AB287" t="str">
            <v>TCP Training Pty Ltd</v>
          </cell>
          <cell r="AC287" t="str">
            <v>Australian Training Solutions</v>
          </cell>
          <cell r="AD287" t="str">
            <v>17 104 693 594</v>
          </cell>
          <cell r="AE287" t="str">
            <v>Mr Eric Ripps (CEO), Amy Bright (System Manager)</v>
          </cell>
          <cell r="AF287" t="str">
            <v>Suite 1, Level 7, 428 George St</v>
          </cell>
          <cell r="AG287" t="str">
            <v>Sydney</v>
          </cell>
          <cell r="AH287" t="str">
            <v>2000</v>
          </cell>
          <cell r="AP287" t="str">
            <v>No</v>
          </cell>
        </row>
        <row r="288"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 t="str">
            <v>RTO - Terminated by RTO</v>
          </cell>
          <cell r="AA288" t="str">
            <v>31528</v>
          </cell>
          <cell r="AB288" t="str">
            <v>Training for Trees Pty Ltd</v>
          </cell>
          <cell r="AC288" t="str">
            <v>N/A</v>
          </cell>
          <cell r="AD288" t="str">
            <v>60 125 038 093</v>
          </cell>
          <cell r="AE288" t="str">
            <v>Ms Heidi Chaffin</v>
          </cell>
          <cell r="AF288" t="str">
            <v>Unit 10, 38 Limestone Street</v>
          </cell>
          <cell r="AG288" t="str">
            <v>Darra</v>
          </cell>
          <cell r="AH288" t="str">
            <v>4076</v>
          </cell>
        </row>
        <row r="289"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 t="str">
            <v>RTO - Current - Application Approved</v>
          </cell>
          <cell r="AA289" t="str">
            <v>31955</v>
          </cell>
          <cell r="AB289" t="str">
            <v>Training Professionals Pty Ltd</v>
          </cell>
          <cell r="AC289" t="str">
            <v>N/A</v>
          </cell>
          <cell r="AD289" t="str">
            <v>89 135 298 510</v>
          </cell>
          <cell r="AE289" t="str">
            <v>Mr Stephen Harding (CEO)</v>
          </cell>
          <cell r="AF289" t="str">
            <v>Level 4, 54 Jephson Street</v>
          </cell>
          <cell r="AG289" t="str">
            <v>Toowong</v>
          </cell>
          <cell r="AH289" t="str">
            <v>4066</v>
          </cell>
          <cell r="AP289" t="str">
            <v>No</v>
          </cell>
        </row>
        <row r="290">
          <cell r="T290" t="str">
            <v>RTO - Terminated by RTO</v>
          </cell>
          <cell r="AA290" t="str">
            <v>31692</v>
          </cell>
          <cell r="AB290" t="str">
            <v>Tree of Knowledge Training Pty Ltd</v>
          </cell>
          <cell r="AC290" t="str">
            <v>N/A</v>
          </cell>
          <cell r="AD290" t="str">
            <v>41 128 465 145</v>
          </cell>
          <cell r="AE290" t="str">
            <v>Ms Jasmin Munroe</v>
          </cell>
          <cell r="AF290" t="str">
            <v>22 Gladstone Road</v>
          </cell>
          <cell r="AG290" t="str">
            <v>Biloela</v>
          </cell>
          <cell r="AH290" t="str">
            <v>4715</v>
          </cell>
        </row>
        <row r="291">
          <cell r="T291" t="str">
            <v>RTO - Terminated by WHSQ</v>
          </cell>
          <cell r="AA291" t="str">
            <v>21571</v>
          </cell>
          <cell r="AB291" t="str">
            <v>Tricore Matrix Pty Ltd</v>
          </cell>
          <cell r="AC291" t="str">
            <v>N/A</v>
          </cell>
          <cell r="AD291" t="str">
            <v>20 143 256 455</v>
          </cell>
          <cell r="AE291" t="str">
            <v>Mr Anthony Auletta</v>
          </cell>
          <cell r="AF291" t="str">
            <v>84-90 Hotham Street</v>
          </cell>
          <cell r="AG291" t="str">
            <v>Preston</v>
          </cell>
          <cell r="AH291" t="str">
            <v>3072</v>
          </cell>
        </row>
        <row r="292">
          <cell r="T292" t="str">
            <v>RTO - Terminated by RTO</v>
          </cell>
          <cell r="AA292" t="str">
            <v>52169</v>
          </cell>
          <cell r="AB292" t="str">
            <v>TriSector Pty Ltd</v>
          </cell>
          <cell r="AC292" t="str">
            <v>N/A</v>
          </cell>
          <cell r="AD292" t="str">
            <v>85 139 514 542</v>
          </cell>
          <cell r="AE292" t="str">
            <v>Mr Mark Braeckmans</v>
          </cell>
          <cell r="AF292" t="str">
            <v>43 Walters Drive</v>
          </cell>
          <cell r="AG292" t="str">
            <v>Osborne Park</v>
          </cell>
          <cell r="AH292" t="str">
            <v>6017</v>
          </cell>
        </row>
        <row r="293">
          <cell r="K293">
            <v>1</v>
          </cell>
          <cell r="L293">
            <v>1</v>
          </cell>
          <cell r="M293">
            <v>1</v>
          </cell>
          <cell r="N293">
            <v>1</v>
          </cell>
          <cell r="O293">
            <v>1</v>
          </cell>
          <cell r="P293">
            <v>1</v>
          </cell>
          <cell r="Q293">
            <v>1</v>
          </cell>
          <cell r="R293">
            <v>1</v>
          </cell>
          <cell r="S293">
            <v>1</v>
          </cell>
          <cell r="T293" t="str">
            <v>RTO - Current - Application Approved</v>
          </cell>
          <cell r="AA293" t="str">
            <v>0328</v>
          </cell>
          <cell r="AB293" t="str">
            <v>Trustee for the Salvation Army (NSW) Property Trust</v>
          </cell>
          <cell r="AC293" t="str">
            <v>Eva Burrows College Vocational Training</v>
          </cell>
          <cell r="AD293" t="str">
            <v>57 507 607 457</v>
          </cell>
          <cell r="AE293" t="str">
            <v>Major Christine Wright (CEO); Kylie Casey (General Manager)</v>
          </cell>
          <cell r="AF293" t="str">
            <v>Level 1, 426 Church St</v>
          </cell>
          <cell r="AG293" t="str">
            <v>Parramatta</v>
          </cell>
          <cell r="AH293" t="str">
            <v>2150</v>
          </cell>
          <cell r="AP293" t="str">
            <v>No</v>
          </cell>
        </row>
        <row r="294">
          <cell r="T294" t="str">
            <v>RTO - Terminated by RTO</v>
          </cell>
          <cell r="AA294" t="str">
            <v>30329</v>
          </cell>
          <cell r="AB294" t="str">
            <v>Trustees of the Marist Brothers - Ashgrove</v>
          </cell>
          <cell r="AC294" t="str">
            <v>ST Joseph's College</v>
          </cell>
          <cell r="AD294" t="str">
            <v>75 236 399 077</v>
          </cell>
          <cell r="AE294" t="str">
            <v>Mr Peter McLoughlin</v>
          </cell>
          <cell r="AF294" t="str">
            <v>142 Frasers Road</v>
          </cell>
          <cell r="AG294" t="str">
            <v>Ashgrove</v>
          </cell>
          <cell r="AH294" t="str">
            <v>4060</v>
          </cell>
        </row>
        <row r="295">
          <cell r="K295">
            <v>43977</v>
          </cell>
          <cell r="L295">
            <v>43994</v>
          </cell>
          <cell r="M295">
            <v>1</v>
          </cell>
          <cell r="N295">
            <v>1</v>
          </cell>
          <cell r="O295">
            <v>44028</v>
          </cell>
          <cell r="P295">
            <v>1</v>
          </cell>
          <cell r="Q295">
            <v>1</v>
          </cell>
          <cell r="R295">
            <v>1</v>
          </cell>
          <cell r="S295">
            <v>1</v>
          </cell>
          <cell r="T295" t="str">
            <v>RTO - Current - Application Approved</v>
          </cell>
          <cell r="AA295" t="str">
            <v>31973</v>
          </cell>
          <cell r="AB295" t="str">
            <v>Urban E Learning Pty Ltd</v>
          </cell>
          <cell r="AC295" t="str">
            <v>Urban E-Learning</v>
          </cell>
          <cell r="AD295" t="str">
            <v>34 127 164 621</v>
          </cell>
          <cell r="AE295" t="str">
            <v>Mr Steven Asnicar (CEO); Ms Gaye Kernke (Operations Manager)</v>
          </cell>
          <cell r="AF295" t="str">
            <v>Suite 1, 17 Henry St</v>
          </cell>
          <cell r="AG295" t="str">
            <v>Spring Hill</v>
          </cell>
          <cell r="AH295" t="str">
            <v>4000</v>
          </cell>
          <cell r="AP295" t="str">
            <v>No</v>
          </cell>
        </row>
        <row r="296">
          <cell r="T296" t="str">
            <v>RTO - Terminated by RTO</v>
          </cell>
          <cell r="AA296" t="str">
            <v>0657</v>
          </cell>
          <cell r="AB296" t="str">
            <v>Vocational Education and Training</v>
          </cell>
          <cell r="AC296" t="str">
            <v>Wide Bay Institute of TAFE</v>
          </cell>
          <cell r="AD296" t="str">
            <v>54 456 676 679</v>
          </cell>
          <cell r="AE296" t="str">
            <v>Ms Leeza Boyce</v>
          </cell>
          <cell r="AF296" t="str">
            <v>65 Nagel Street</v>
          </cell>
          <cell r="AG296" t="str">
            <v>Oakhurst</v>
          </cell>
          <cell r="AH296" t="str">
            <v>4650</v>
          </cell>
        </row>
        <row r="297">
          <cell r="T297" t="str">
            <v>RTO - Terminated by RTO</v>
          </cell>
          <cell r="AA297" t="str">
            <v>0713</v>
          </cell>
          <cell r="AB297" t="str">
            <v>Vocational Education and Training</v>
          </cell>
          <cell r="AC297" t="str">
            <v>The Bremer Institute of TAFE</v>
          </cell>
          <cell r="AD297" t="str">
            <v>54 456 676 679</v>
          </cell>
          <cell r="AE297" t="str">
            <v>Mr Trevor Schwenke</v>
          </cell>
          <cell r="AF297" t="str">
            <v>Mary Street</v>
          </cell>
          <cell r="AG297" t="str">
            <v>Bundamba</v>
          </cell>
          <cell r="AH297" t="str">
            <v>4304</v>
          </cell>
        </row>
        <row r="298">
          <cell r="T298" t="str">
            <v>RTO - Terminated by RTO</v>
          </cell>
          <cell r="AA298" t="str">
            <v>30837</v>
          </cell>
          <cell r="AB298" t="str">
            <v>Vocational Education and Training</v>
          </cell>
          <cell r="AC298" t="str">
            <v>Brisbane North Institute of TAFE</v>
          </cell>
          <cell r="AD298" t="str">
            <v>54 456 676 679</v>
          </cell>
          <cell r="AE298" t="str">
            <v>Mr Aaron Devine</v>
          </cell>
          <cell r="AF298" t="str">
            <v>Locked Mail Bag 14, Brisbane South Qld 4101</v>
          </cell>
          <cell r="AG298" t="str">
            <v>Brisbane Sth</v>
          </cell>
          <cell r="AH298" t="str">
            <v>4101</v>
          </cell>
        </row>
        <row r="299">
          <cell r="K299">
            <v>1</v>
          </cell>
          <cell r="L299">
            <v>1</v>
          </cell>
          <cell r="M299">
            <v>1</v>
          </cell>
          <cell r="N299">
            <v>1</v>
          </cell>
          <cell r="O299">
            <v>1</v>
          </cell>
          <cell r="P299">
            <v>1</v>
          </cell>
          <cell r="Q299">
            <v>1</v>
          </cell>
          <cell r="R299">
            <v>1</v>
          </cell>
          <cell r="S299">
            <v>1</v>
          </cell>
          <cell r="T299" t="str">
            <v>RTO - Current - Application Approved</v>
          </cell>
          <cell r="AA299" t="str">
            <v>32186</v>
          </cell>
          <cell r="AB299" t="str">
            <v>VOCTEC (Australia) Pty Ltd</v>
          </cell>
          <cell r="AC299" t="str">
            <v>IPS Institute</v>
          </cell>
          <cell r="AD299" t="str">
            <v>30 075 249 348</v>
          </cell>
          <cell r="AE299" t="str">
            <v>Ms Victoria Jennings (CEO); Mr Bradley Gayton (Compliance and QA Manager)</v>
          </cell>
          <cell r="AF299" t="str">
            <v>11/3352 Pacific Highway</v>
          </cell>
          <cell r="AG299" t="str">
            <v>Spingwood</v>
          </cell>
          <cell r="AH299" t="str">
            <v>4127</v>
          </cell>
          <cell r="AP299" t="str">
            <v>No</v>
          </cell>
        </row>
        <row r="300">
          <cell r="K300">
            <v>43980</v>
          </cell>
          <cell r="L300">
            <v>1</v>
          </cell>
          <cell r="M300">
            <v>44735</v>
          </cell>
          <cell r="N300">
            <v>1</v>
          </cell>
          <cell r="O300">
            <v>1</v>
          </cell>
          <cell r="P300">
            <v>1</v>
          </cell>
          <cell r="Q300">
            <v>1</v>
          </cell>
          <cell r="R300">
            <v>1</v>
          </cell>
          <cell r="S300">
            <v>1</v>
          </cell>
          <cell r="T300" t="str">
            <v>RTO - Terminated by RTO</v>
          </cell>
          <cell r="AA300" t="str">
            <v>32137</v>
          </cell>
          <cell r="AB300" t="str">
            <v>Volt Edge Pty Ltd</v>
          </cell>
          <cell r="AC300" t="str">
            <v>Macky Electrical Training</v>
          </cell>
          <cell r="AD300" t="str">
            <v>15 087 784 058</v>
          </cell>
          <cell r="AE300" t="str">
            <v>kirsty Hettrick</v>
          </cell>
          <cell r="AF300" t="str">
            <v>8 Allworth Street</v>
          </cell>
          <cell r="AG300" t="str">
            <v>Northgate</v>
          </cell>
          <cell r="AH300" t="str">
            <v>4013</v>
          </cell>
        </row>
        <row r="301">
          <cell r="K301">
            <v>1</v>
          </cell>
          <cell r="L301">
            <v>1</v>
          </cell>
          <cell r="M301">
            <v>1</v>
          </cell>
          <cell r="N301">
            <v>1</v>
          </cell>
          <cell r="O301">
            <v>1</v>
          </cell>
          <cell r="P301">
            <v>1</v>
          </cell>
          <cell r="Q301">
            <v>1</v>
          </cell>
          <cell r="R301">
            <v>1</v>
          </cell>
          <cell r="S301">
            <v>1</v>
          </cell>
          <cell r="T301" t="str">
            <v>RTO - Current - Application Approved</v>
          </cell>
          <cell r="AA301" t="str">
            <v>32456</v>
          </cell>
          <cell r="AB301" t="str">
            <v>W and R French</v>
          </cell>
          <cell r="AC301" t="str">
            <v>AQTraining</v>
          </cell>
          <cell r="AD301" t="str">
            <v>27 029 096 113</v>
          </cell>
          <cell r="AE301" t="str">
            <v>Mrs Ruth French (CEO)</v>
          </cell>
          <cell r="AF301" t="str">
            <v>39 - 53 Virginia Way</v>
          </cell>
          <cell r="AG301" t="str">
            <v>Logan Village</v>
          </cell>
          <cell r="AH301" t="str">
            <v>4207</v>
          </cell>
          <cell r="AP301" t="str">
            <v>No</v>
          </cell>
        </row>
        <row r="302">
          <cell r="K302">
            <v>1</v>
          </cell>
          <cell r="L302">
            <v>1</v>
          </cell>
          <cell r="M302">
            <v>1</v>
          </cell>
          <cell r="N302">
            <v>1</v>
          </cell>
          <cell r="O302">
            <v>1</v>
          </cell>
          <cell r="P302">
            <v>1</v>
          </cell>
          <cell r="Q302">
            <v>1</v>
          </cell>
          <cell r="R302">
            <v>1</v>
          </cell>
          <cell r="S302">
            <v>1</v>
          </cell>
          <cell r="T302" t="str">
            <v>RTO - Terminated by RTO</v>
          </cell>
          <cell r="AA302" t="str">
            <v>51972</v>
          </cell>
          <cell r="AB302" t="str">
            <v>Warp Training Australia Pty Ltd</v>
          </cell>
          <cell r="AC302" t="str">
            <v>Wrap Training</v>
          </cell>
          <cell r="AD302" t="str">
            <v>87 612 718 608</v>
          </cell>
          <cell r="AE302" t="str">
            <v>Jacob Gliddon</v>
          </cell>
          <cell r="AF302" t="str">
            <v>122 Grandstand Rd</v>
          </cell>
          <cell r="AG302" t="str">
            <v>Ascot</v>
          </cell>
          <cell r="AH302" t="str">
            <v>6104</v>
          </cell>
        </row>
        <row r="303">
          <cell r="K303">
            <v>1</v>
          </cell>
          <cell r="L303">
            <v>1</v>
          </cell>
          <cell r="M303">
            <v>1</v>
          </cell>
          <cell r="N303">
            <v>1</v>
          </cell>
          <cell r="O303">
            <v>1</v>
          </cell>
          <cell r="P303">
            <v>1</v>
          </cell>
          <cell r="Q303">
            <v>1</v>
          </cell>
          <cell r="R303">
            <v>1</v>
          </cell>
          <cell r="S303">
            <v>1</v>
          </cell>
          <cell r="T303" t="str">
            <v>RTO - Terminated by RTO</v>
          </cell>
          <cell r="AA303" t="str">
            <v>30452</v>
          </cell>
          <cell r="AB303" t="str">
            <v>Western Cape College</v>
          </cell>
          <cell r="AC303" t="str">
            <v>Western Cape College</v>
          </cell>
          <cell r="AD303" t="str">
            <v>30 531 079 796</v>
          </cell>
          <cell r="AE303" t="str">
            <v>Mr Ashley Spain</v>
          </cell>
          <cell r="AF303" t="str">
            <v>Central Avenue</v>
          </cell>
          <cell r="AG303" t="str">
            <v>Rocky Point</v>
          </cell>
          <cell r="AH303" t="str">
            <v>4874</v>
          </cell>
          <cell r="AP303" t="str">
            <v>Yes</v>
          </cell>
        </row>
        <row r="304"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 t="str">
            <v>RTO - Terminated by RTO</v>
          </cell>
          <cell r="AA304" t="str">
            <v>22098</v>
          </cell>
          <cell r="AB304" t="str">
            <v>Western Institute of Technology Pty Ltd</v>
          </cell>
          <cell r="AC304" t="str">
            <v>N/A</v>
          </cell>
          <cell r="AD304" t="str">
            <v>66 126 049 821</v>
          </cell>
          <cell r="AE304" t="str">
            <v>Ms Sionagh Clerkin; Mr Intaj Khan</v>
          </cell>
          <cell r="AF304" t="str">
            <v>Level 4-5, 220 Albert Road</v>
          </cell>
          <cell r="AG304" t="str">
            <v>, Melbourne South</v>
          </cell>
          <cell r="AH304" t="str">
            <v>3205</v>
          </cell>
        </row>
        <row r="305">
          <cell r="K305">
            <v>1</v>
          </cell>
          <cell r="L305">
            <v>1</v>
          </cell>
          <cell r="M305">
            <v>1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R305">
            <v>1</v>
          </cell>
          <cell r="S305">
            <v>1</v>
          </cell>
          <cell r="T305" t="str">
            <v>RTO - Current - Application Approved</v>
          </cell>
          <cell r="AA305" t="str">
            <v>32365</v>
          </cell>
          <cell r="AB305" t="str">
            <v>WH&amp;S Training &amp; Assessment Services Pty Ltd</v>
          </cell>
          <cell r="AC305" t="str">
            <v>WH&amp;S More Skills</v>
          </cell>
          <cell r="AD305" t="str">
            <v>42 146 976 981</v>
          </cell>
          <cell r="AE305" t="str">
            <v>Mr Gerard Healy (CEO); Ms Jen Webb (Compliance Manager)</v>
          </cell>
          <cell r="AF305" t="str">
            <v>Biuilding 2, 492 Beaudesert Rd</v>
          </cell>
          <cell r="AG305" t="str">
            <v>Salisbury</v>
          </cell>
          <cell r="AH305" t="str">
            <v>4107</v>
          </cell>
          <cell r="AP305" t="str">
            <v>No</v>
          </cell>
        </row>
        <row r="306">
          <cell r="K306">
            <v>1</v>
          </cell>
          <cell r="L306">
            <v>1</v>
          </cell>
          <cell r="M306">
            <v>1</v>
          </cell>
          <cell r="N306">
            <v>1</v>
          </cell>
          <cell r="O306">
            <v>1</v>
          </cell>
          <cell r="P306">
            <v>1</v>
          </cell>
          <cell r="Q306">
            <v>1</v>
          </cell>
          <cell r="R306">
            <v>1</v>
          </cell>
          <cell r="S306">
            <v>1</v>
          </cell>
          <cell r="T306" t="str">
            <v>RTO - Terminated by RTO</v>
          </cell>
          <cell r="AA306" t="str">
            <v>41374</v>
          </cell>
          <cell r="AB306" t="str">
            <v>Kingsway Vocational Training Pty Ltd</v>
          </cell>
          <cell r="AC306" t="str">
            <v>VETNET Education Services</v>
          </cell>
          <cell r="AD306" t="str">
            <v>15 603 952 049</v>
          </cell>
          <cell r="AE306" t="str">
            <v>Mr Nader Karimi Kandejani (CEO); Ms Kimberley Deans</v>
          </cell>
          <cell r="AF306" t="str">
            <v>171 Pantin Lane</v>
          </cell>
          <cell r="AG306" t="str">
            <v>Urraween</v>
          </cell>
          <cell r="AH306" t="str">
            <v>4655</v>
          </cell>
          <cell r="AP306" t="str">
            <v>No</v>
          </cell>
        </row>
        <row r="307">
          <cell r="K307">
            <v>1</v>
          </cell>
          <cell r="L307">
            <v>1</v>
          </cell>
          <cell r="M307">
            <v>1</v>
          </cell>
          <cell r="N307">
            <v>1</v>
          </cell>
          <cell r="O307">
            <v>1</v>
          </cell>
          <cell r="P307">
            <v>1</v>
          </cell>
          <cell r="Q307">
            <v>1</v>
          </cell>
          <cell r="R307">
            <v>1</v>
          </cell>
          <cell r="S307">
            <v>1</v>
          </cell>
          <cell r="T307" t="str">
            <v>RTO - Current - Application Approved</v>
          </cell>
          <cell r="AA307" t="str">
            <v>30622</v>
          </cell>
          <cell r="AB307" t="str">
            <v>Worklinks QLD Ltd</v>
          </cell>
          <cell r="AC307" t="str">
            <v>N/A</v>
          </cell>
          <cell r="AD307" t="str">
            <v>28 316 834 043</v>
          </cell>
          <cell r="AE307" t="str">
            <v>Janis Robinson (CEO); Mr Philip Hurd (General Manager)</v>
          </cell>
          <cell r="AF307" t="str">
            <v>Block D, First Floor, 8 King Street</v>
          </cell>
          <cell r="AG307" t="str">
            <v>Caboolture</v>
          </cell>
          <cell r="AH307" t="str">
            <v>4510</v>
          </cell>
          <cell r="AP307" t="str">
            <v>No</v>
          </cell>
        </row>
        <row r="308">
          <cell r="T308" t="str">
            <v>RTO - Application Withdrawn</v>
          </cell>
          <cell r="AA308" t="str">
            <v>31401</v>
          </cell>
          <cell r="AB308" t="str">
            <v>Workplace Health &amp; Safety Services Pty Ltd</v>
          </cell>
          <cell r="AC308" t="str">
            <v>N/A</v>
          </cell>
          <cell r="AE308" t="str">
            <v>Mr Peter Haddad</v>
          </cell>
          <cell r="AF308" t="str">
            <v>N/A</v>
          </cell>
          <cell r="AG308" t="str">
            <v>N/A</v>
          </cell>
          <cell r="AH308" t="str">
            <v>0000</v>
          </cell>
        </row>
        <row r="309">
          <cell r="K309">
            <v>1</v>
          </cell>
          <cell r="L309">
            <v>1</v>
          </cell>
          <cell r="M309">
            <v>1</v>
          </cell>
          <cell r="N309">
            <v>1</v>
          </cell>
          <cell r="O309">
            <v>1</v>
          </cell>
          <cell r="P309">
            <v>1</v>
          </cell>
          <cell r="Q309">
            <v>1</v>
          </cell>
          <cell r="R309">
            <v>1</v>
          </cell>
          <cell r="S309">
            <v>1</v>
          </cell>
          <cell r="T309" t="str">
            <v>RTO - Current - Application Approved</v>
          </cell>
          <cell r="AA309" t="str">
            <v>90702</v>
          </cell>
          <cell r="AB309" t="str">
            <v>Workplace Training Group Pty Ltd</v>
          </cell>
          <cell r="AC309" t="str">
            <v>N/A</v>
          </cell>
          <cell r="AD309" t="str">
            <v>31 081 455 567</v>
          </cell>
          <cell r="AE309" t="str">
            <v>Mr. James Peter Crilly (CEO)</v>
          </cell>
          <cell r="AF309" t="str">
            <v>Unit 4, 367-369 Victoria Street</v>
          </cell>
          <cell r="AG309" t="str">
            <v>Wetherill Park</v>
          </cell>
          <cell r="AH309" t="str">
            <v>2164</v>
          </cell>
          <cell r="AP309" t="str">
            <v>No</v>
          </cell>
        </row>
        <row r="310">
          <cell r="K310">
            <v>1</v>
          </cell>
          <cell r="L310">
            <v>1</v>
          </cell>
          <cell r="M310">
            <v>1</v>
          </cell>
          <cell r="N310">
            <v>1</v>
          </cell>
          <cell r="O310">
            <v>1</v>
          </cell>
          <cell r="P310">
            <v>1</v>
          </cell>
          <cell r="Q310">
            <v>1</v>
          </cell>
          <cell r="R310">
            <v>1</v>
          </cell>
          <cell r="S310">
            <v>1</v>
          </cell>
          <cell r="T310" t="str">
            <v>RTO - Current - Application Approved</v>
          </cell>
          <cell r="AA310" t="str">
            <v>31385</v>
          </cell>
          <cell r="AB310" t="str">
            <v>Worksafe Connect Pty Ltd</v>
          </cell>
          <cell r="AC310" t="str">
            <v>Worksafe Connect</v>
          </cell>
          <cell r="AD310" t="str">
            <v>13 308 469 866</v>
          </cell>
          <cell r="AE310" t="str">
            <v>Mr Anthony Lattin (CEO); Ms Kathryn Lattin (Managing Director)</v>
          </cell>
          <cell r="AF310" t="str">
            <v>327 Bayswater Rd</v>
          </cell>
          <cell r="AG310" t="str">
            <v>Garbutt</v>
          </cell>
          <cell r="AH310" t="str">
            <v>4814</v>
          </cell>
          <cell r="AP310" t="str">
            <v>No</v>
          </cell>
        </row>
        <row r="311">
          <cell r="T311" t="str">
            <v>RTO - Terminated by RTO</v>
          </cell>
          <cell r="AA311" t="str">
            <v>90757</v>
          </cell>
          <cell r="AB311" t="str">
            <v>Worksmart Global</v>
          </cell>
          <cell r="AC311" t="str">
            <v>N/A</v>
          </cell>
          <cell r="AD311" t="str">
            <v>79 132 006 592</v>
          </cell>
          <cell r="AE311" t="str">
            <v>Mr Marc Davies</v>
          </cell>
          <cell r="AF311" t="str">
            <v>Unit 100 Level 1 18 Kavanagh St</v>
          </cell>
          <cell r="AG311" t="str">
            <v>South Bank</v>
          </cell>
          <cell r="AH311" t="str">
            <v>3006</v>
          </cell>
        </row>
        <row r="312">
          <cell r="T312" t="str">
            <v>RTO - Terminated by RTO</v>
          </cell>
          <cell r="AA312" t="str">
            <v>91398</v>
          </cell>
          <cell r="AB312" t="str">
            <v>WTSD Pty Ltd (Workplace Training and Staff Development)</v>
          </cell>
          <cell r="AC312" t="str">
            <v>N/A</v>
          </cell>
          <cell r="AD312" t="str">
            <v>93 109 543 320</v>
          </cell>
          <cell r="AE312" t="str">
            <v>Mr Warren Smith</v>
          </cell>
          <cell r="AF312" t="str">
            <v>34 Spindrift Row</v>
          </cell>
          <cell r="AG312" t="str">
            <v>Port Macquarie</v>
          </cell>
          <cell r="AH312" t="str">
            <v>2444</v>
          </cell>
        </row>
        <row r="313">
          <cell r="K313">
            <v>1</v>
          </cell>
          <cell r="L313">
            <v>1</v>
          </cell>
          <cell r="M313">
            <v>1</v>
          </cell>
          <cell r="N313">
            <v>1</v>
          </cell>
          <cell r="O313">
            <v>1</v>
          </cell>
          <cell r="P313">
            <v>1</v>
          </cell>
          <cell r="Q313">
            <v>1</v>
          </cell>
          <cell r="R313">
            <v>1</v>
          </cell>
          <cell r="S313">
            <v>1</v>
          </cell>
          <cell r="T313" t="str">
            <v>RTO - Current - Application Approved</v>
          </cell>
          <cell r="AA313" t="str">
            <v>0677</v>
          </cell>
          <cell r="AB313" t="str">
            <v>Wynnum Manly Employment and Training Assoc Inc</v>
          </cell>
          <cell r="AC313" t="str">
            <v>N/A</v>
          </cell>
          <cell r="AD313" t="str">
            <v>15 121 837 932</v>
          </cell>
          <cell r="AE313" t="str">
            <v>Mr Jason Gardiner (CEO); Ms Vicki Baily (Compliance Manager)</v>
          </cell>
          <cell r="AF313" t="str">
            <v>58 Yamboyna Street</v>
          </cell>
          <cell r="AG313" t="str">
            <v>Manly</v>
          </cell>
          <cell r="AH313" t="str">
            <v>4179</v>
          </cell>
          <cell r="AP313" t="str">
            <v>No</v>
          </cell>
        </row>
        <row r="314">
          <cell r="K314">
            <v>1</v>
          </cell>
          <cell r="L314">
            <v>1</v>
          </cell>
          <cell r="M314">
            <v>1</v>
          </cell>
          <cell r="N314">
            <v>1</v>
          </cell>
          <cell r="O314">
            <v>1</v>
          </cell>
          <cell r="P314">
            <v>1</v>
          </cell>
          <cell r="Q314">
            <v>1</v>
          </cell>
          <cell r="R314">
            <v>1</v>
          </cell>
          <cell r="S314">
            <v>1</v>
          </cell>
          <cell r="T314" t="str">
            <v>RTO - Current - Application Approved</v>
          </cell>
          <cell r="AA314" t="str">
            <v>31116</v>
          </cell>
          <cell r="AB314" t="str">
            <v>Yalga-Binbi Institute for Community Development Aboriginal and Torres Strait Islanders Corporation</v>
          </cell>
          <cell r="AC314" t="str">
            <v>N/A</v>
          </cell>
          <cell r="AD314" t="str">
            <v>20 213 678 271</v>
          </cell>
          <cell r="AE314" t="str">
            <v>Mrs. Elise Anne Cottam (CEO)</v>
          </cell>
          <cell r="AF314" t="str">
            <v>2 Marina Drive</v>
          </cell>
          <cell r="AG314" t="str">
            <v>Burnett Heads</v>
          </cell>
          <cell r="AH314" t="str">
            <v>4670</v>
          </cell>
          <cell r="AP314" t="str">
            <v>No</v>
          </cell>
        </row>
        <row r="315">
          <cell r="K315">
            <v>1</v>
          </cell>
          <cell r="L315">
            <v>1</v>
          </cell>
          <cell r="M315">
            <v>1</v>
          </cell>
          <cell r="N315">
            <v>1</v>
          </cell>
          <cell r="O315">
            <v>1</v>
          </cell>
          <cell r="P315">
            <v>1</v>
          </cell>
          <cell r="Q315">
            <v>1</v>
          </cell>
          <cell r="R315">
            <v>1</v>
          </cell>
          <cell r="S315">
            <v>1</v>
          </cell>
          <cell r="T315" t="str">
            <v>RTO - Terminated by WHSQ</v>
          </cell>
          <cell r="AA315" t="str">
            <v>2551</v>
          </cell>
          <cell r="AB315" t="str">
            <v>PARASOL EMT Pty Ltd</v>
          </cell>
          <cell r="AC315" t="str">
            <v>N/A</v>
          </cell>
          <cell r="AD315" t="str">
            <v>39 072 488 914</v>
          </cell>
          <cell r="AE315" t="str">
            <v>Mr Peter McKie</v>
          </cell>
          <cell r="AF315" t="str">
            <v>Unit 17 Molonglo Mall</v>
          </cell>
          <cell r="AG315" t="str">
            <v>Fyshwick</v>
          </cell>
          <cell r="AH315" t="str">
            <v>2609</v>
          </cell>
        </row>
        <row r="316">
          <cell r="K316">
            <v>1</v>
          </cell>
          <cell r="L316">
            <v>1</v>
          </cell>
          <cell r="M316">
            <v>1</v>
          </cell>
          <cell r="N316">
            <v>1</v>
          </cell>
          <cell r="O316">
            <v>1</v>
          </cell>
          <cell r="P316">
            <v>1</v>
          </cell>
          <cell r="Q316">
            <v>1</v>
          </cell>
          <cell r="R316">
            <v>1</v>
          </cell>
          <cell r="S316">
            <v>1</v>
          </cell>
          <cell r="T316" t="str">
            <v>RTO - Current - Application Approved</v>
          </cell>
          <cell r="AA316" t="str">
            <v>91528</v>
          </cell>
          <cell r="AB316" t="str">
            <v>South Pacific Training Group Pty Ltd</v>
          </cell>
          <cell r="AC316" t="str">
            <v>Australian Owner Builder Centre</v>
          </cell>
          <cell r="AD316" t="str">
            <v>36 131 189 136</v>
          </cell>
          <cell r="AE316" t="str">
            <v>Mr Gregory Christodoulou (CEO)</v>
          </cell>
          <cell r="AF316" t="str">
            <v>Level 11, 65 York St</v>
          </cell>
          <cell r="AG316" t="str">
            <v>Sydney</v>
          </cell>
          <cell r="AH316" t="str">
            <v>2000</v>
          </cell>
          <cell r="AP316" t="str">
            <v>No</v>
          </cell>
        </row>
        <row r="317">
          <cell r="K317">
            <v>1</v>
          </cell>
          <cell r="L317">
            <v>1</v>
          </cell>
          <cell r="M317">
            <v>1</v>
          </cell>
          <cell r="N317">
            <v>1</v>
          </cell>
          <cell r="O317">
            <v>1</v>
          </cell>
          <cell r="P317">
            <v>1</v>
          </cell>
          <cell r="Q317">
            <v>1</v>
          </cell>
          <cell r="R317">
            <v>1</v>
          </cell>
          <cell r="S317">
            <v>1</v>
          </cell>
          <cell r="T317" t="str">
            <v>RTO - Current - Application Approved</v>
          </cell>
          <cell r="AA317" t="str">
            <v>30460</v>
          </cell>
          <cell r="AB317" t="str">
            <v>Yeronga State High School</v>
          </cell>
          <cell r="AC317" t="str">
            <v>N/A</v>
          </cell>
          <cell r="AD317" t="str">
            <v>74 063 722 431</v>
          </cell>
          <cell r="AE317" t="str">
            <v>Mr Ben Orford (Principal); Ms Domini Roblin (Head of Department - Senior School)</v>
          </cell>
          <cell r="AF317" t="str">
            <v>159 Villa St</v>
          </cell>
          <cell r="AG317" t="str">
            <v>Yeronga, QLD</v>
          </cell>
          <cell r="AH317" t="str">
            <v>4104</v>
          </cell>
          <cell r="AP317" t="str">
            <v>Yes</v>
          </cell>
        </row>
        <row r="318">
          <cell r="K318">
            <v>1</v>
          </cell>
          <cell r="L318">
            <v>1</v>
          </cell>
          <cell r="M318">
            <v>1</v>
          </cell>
          <cell r="N318">
            <v>1</v>
          </cell>
          <cell r="O318">
            <v>1</v>
          </cell>
          <cell r="P318">
            <v>1</v>
          </cell>
          <cell r="Q318">
            <v>1</v>
          </cell>
          <cell r="R318">
            <v>1</v>
          </cell>
          <cell r="S318">
            <v>1</v>
          </cell>
          <cell r="T318" t="str">
            <v>RTO - Current - Application Approved</v>
          </cell>
          <cell r="AA318" t="str">
            <v>32292</v>
          </cell>
          <cell r="AB318" t="str">
            <v>NSTA Pty Ltd</v>
          </cell>
          <cell r="AC318" t="str">
            <v>N/A</v>
          </cell>
          <cell r="AD318" t="str">
            <v>80 140 382 887</v>
          </cell>
          <cell r="AE318" t="str">
            <v>Ms Sharyn Gadsby (CEO); Mr Richard Franks (Manager)</v>
          </cell>
          <cell r="AF318" t="str">
            <v>78 The Peninsula</v>
          </cell>
          <cell r="AG318" t="str">
            <v>Helensvale</v>
          </cell>
          <cell r="AH318" t="str">
            <v>4212</v>
          </cell>
          <cell r="AP318" t="str">
            <v>No</v>
          </cell>
        </row>
        <row r="319">
          <cell r="K319">
            <v>1</v>
          </cell>
          <cell r="L319">
            <v>1</v>
          </cell>
          <cell r="M319">
            <v>1</v>
          </cell>
          <cell r="N319">
            <v>1</v>
          </cell>
          <cell r="O319">
            <v>1</v>
          </cell>
          <cell r="P319">
            <v>1</v>
          </cell>
          <cell r="Q319">
            <v>1</v>
          </cell>
          <cell r="R319">
            <v>1</v>
          </cell>
          <cell r="S319">
            <v>1</v>
          </cell>
          <cell r="T319" t="str">
            <v>RTO - Suspended by WHSQ</v>
          </cell>
          <cell r="AA319" t="str">
            <v>41527</v>
          </cell>
          <cell r="AB319" t="str">
            <v>Skillcert Pty Ltd</v>
          </cell>
          <cell r="AC319" t="str">
            <v>N/A</v>
          </cell>
          <cell r="AD319" t="str">
            <v>87 169 025 281</v>
          </cell>
          <cell r="AE319" t="str">
            <v>Ms Jingan Chan</v>
          </cell>
          <cell r="AF319" t="str">
            <v>Suit 2, Level 14, 227 Elizabeth St</v>
          </cell>
          <cell r="AG319" t="str">
            <v>Sydney</v>
          </cell>
          <cell r="AH319" t="str">
            <v>2000</v>
          </cell>
        </row>
        <row r="320">
          <cell r="K320">
            <v>44424</v>
          </cell>
          <cell r="L320">
            <v>1</v>
          </cell>
          <cell r="M320">
            <v>1</v>
          </cell>
          <cell r="N320">
            <v>1</v>
          </cell>
          <cell r="O320">
            <v>1</v>
          </cell>
          <cell r="P320">
            <v>1</v>
          </cell>
          <cell r="Q320">
            <v>1</v>
          </cell>
          <cell r="R320">
            <v>1</v>
          </cell>
          <cell r="S320">
            <v>1</v>
          </cell>
          <cell r="T320" t="str">
            <v>RTO - Current - Application Approved</v>
          </cell>
          <cell r="AA320" t="str">
            <v>45310</v>
          </cell>
          <cell r="AB320" t="str">
            <v>Australian College of Skills &amp; Education Pty Ltd</v>
          </cell>
          <cell r="AC320" t="str">
            <v>Australian College of Skills &amp; Education</v>
          </cell>
          <cell r="AD320" t="str">
            <v>33 618 480 738</v>
          </cell>
          <cell r="AE320" t="str">
            <v>Mr Mohammad Uppal (CEO)</v>
          </cell>
          <cell r="AF320" t="str">
            <v>Unit 7, 88 Rooty Hill Road North</v>
          </cell>
          <cell r="AG320" t="str">
            <v>Rooty Hill</v>
          </cell>
          <cell r="AH320" t="str">
            <v>2766</v>
          </cell>
          <cell r="AP320" t="str">
            <v>No</v>
          </cell>
        </row>
        <row r="321">
          <cell r="K321">
            <v>1</v>
          </cell>
          <cell r="L321">
            <v>1</v>
          </cell>
          <cell r="M321">
            <v>1</v>
          </cell>
          <cell r="N321">
            <v>1</v>
          </cell>
          <cell r="O321">
            <v>1</v>
          </cell>
          <cell r="P321">
            <v>1</v>
          </cell>
          <cell r="Q321">
            <v>1</v>
          </cell>
          <cell r="R321">
            <v>1</v>
          </cell>
          <cell r="S321">
            <v>1</v>
          </cell>
          <cell r="T321" t="str">
            <v>RTO - Current - Application Approved</v>
          </cell>
          <cell r="AA321" t="str">
            <v>31589</v>
          </cell>
          <cell r="AB321" t="str">
            <v>AB Quality Homes Pty Ltd</v>
          </cell>
          <cell r="AC321" t="str">
            <v>Diggerman Training</v>
          </cell>
          <cell r="AD321" t="str">
            <v>35 111 341 621</v>
          </cell>
          <cell r="AE321" t="str">
            <v>Mr Gordon Burke (CEO); Ms Lisa Diekman (Manager)</v>
          </cell>
          <cell r="AF321" t="str">
            <v>13 Junction Dr</v>
          </cell>
          <cell r="AG321" t="str">
            <v>Coolum Beach</v>
          </cell>
          <cell r="AH321" t="str">
            <v>4573</v>
          </cell>
          <cell r="AP321" t="str">
            <v>No</v>
          </cell>
        </row>
        <row r="322">
          <cell r="K322">
            <v>1</v>
          </cell>
          <cell r="L322">
            <v>1</v>
          </cell>
          <cell r="M322">
            <v>1</v>
          </cell>
          <cell r="N322">
            <v>1</v>
          </cell>
          <cell r="O322">
            <v>1</v>
          </cell>
          <cell r="P322">
            <v>1</v>
          </cell>
          <cell r="Q322">
            <v>1</v>
          </cell>
          <cell r="R322">
            <v>1</v>
          </cell>
          <cell r="S322">
            <v>1</v>
          </cell>
          <cell r="T322" t="str">
            <v>RTO - Current - Application Approved</v>
          </cell>
          <cell r="AA322" t="str">
            <v>4612</v>
          </cell>
          <cell r="AB322" t="str">
            <v>CEPU (Plumbing Division) Education and Training Centre Ltd</v>
          </cell>
          <cell r="AC322" t="str">
            <v>CEPUTEC</v>
          </cell>
          <cell r="AD322" t="str">
            <v>21 078 869 673</v>
          </cell>
          <cell r="AE322" t="str">
            <v>Mr. Glenn Menzies (CEO)</v>
          </cell>
          <cell r="AF322" t="str">
            <v>41 Peel Street</v>
          </cell>
          <cell r="AG322" t="str">
            <v>South Brisbane</v>
          </cell>
          <cell r="AH322" t="str">
            <v>4101</v>
          </cell>
          <cell r="AP322" t="str">
            <v>No</v>
          </cell>
        </row>
        <row r="323">
          <cell r="K323">
            <v>1</v>
          </cell>
          <cell r="L323">
            <v>1</v>
          </cell>
          <cell r="M323">
            <v>1</v>
          </cell>
          <cell r="N323">
            <v>1</v>
          </cell>
          <cell r="O323">
            <v>1</v>
          </cell>
          <cell r="P323">
            <v>1</v>
          </cell>
          <cell r="Q323">
            <v>1</v>
          </cell>
          <cell r="R323">
            <v>1</v>
          </cell>
          <cell r="S323">
            <v>1</v>
          </cell>
          <cell r="T323" t="str">
            <v>RTO - Application Withdrawn</v>
          </cell>
          <cell r="AA323" t="str">
            <v>30357</v>
          </cell>
          <cell r="AB323" t="str">
            <v>Edmund Rice Education Australia</v>
          </cell>
          <cell r="AC323" t="str">
            <v>(Formerly St Laurence College)</v>
          </cell>
          <cell r="AD323" t="str">
            <v>96 372 268 340</v>
          </cell>
          <cell r="AE323" t="str">
            <v>Michelle Smith</v>
          </cell>
          <cell r="AF323" t="str">
            <v>82 Stephens Rd</v>
          </cell>
          <cell r="AG323" t="str">
            <v>Sth Brisbane</v>
          </cell>
          <cell r="AH323" t="str">
            <v>4101</v>
          </cell>
          <cell r="AP323" t="str">
            <v>Yes</v>
          </cell>
        </row>
        <row r="324">
          <cell r="K324">
            <v>1</v>
          </cell>
          <cell r="L324">
            <v>1</v>
          </cell>
          <cell r="M324">
            <v>1</v>
          </cell>
          <cell r="N324">
            <v>1</v>
          </cell>
          <cell r="O324">
            <v>1</v>
          </cell>
          <cell r="P324">
            <v>1</v>
          </cell>
          <cell r="Q324">
            <v>1</v>
          </cell>
          <cell r="R324">
            <v>1</v>
          </cell>
          <cell r="S324">
            <v>1</v>
          </cell>
          <cell r="T324" t="str">
            <v>RTO - Current - Application Approved</v>
          </cell>
          <cell r="AA324" t="str">
            <v>31399</v>
          </cell>
          <cell r="AB324" t="str">
            <v>Australian Trade Training College Ltd</v>
          </cell>
          <cell r="AC324" t="str">
            <v>Australian Trade Training College</v>
          </cell>
          <cell r="AD324" t="str">
            <v>53 139 076 636</v>
          </cell>
          <cell r="AE324" t="str">
            <v>Mr Jason Allen (CEO); Ms Pauline Grant-Smith (RTO Manager)</v>
          </cell>
          <cell r="AF324" t="str">
            <v>36 Kremzow Road</v>
          </cell>
          <cell r="AG324" t="str">
            <v>Brendale</v>
          </cell>
          <cell r="AH324" t="str">
            <v>4500</v>
          </cell>
          <cell r="AP324" t="str">
            <v>No</v>
          </cell>
        </row>
        <row r="325"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 t="str">
            <v>RTO - Current - Application Approved</v>
          </cell>
          <cell r="AA325" t="str">
            <v>40772</v>
          </cell>
          <cell r="AB325" t="str">
            <v>Australian Institute of Resources Training Pty Ltd</v>
          </cell>
          <cell r="AC325" t="str">
            <v xml:space="preserve">  Host Safety and Training</v>
          </cell>
          <cell r="AD325" t="str">
            <v>89 160 736 176</v>
          </cell>
          <cell r="AE325" t="str">
            <v>Mr Matthew Keating (CEO); Ms Sarah Carter (Manager)</v>
          </cell>
          <cell r="AF325" t="str">
            <v>17 Industrial Ave</v>
          </cell>
          <cell r="AG325" t="str">
            <v>Caloundra</v>
          </cell>
          <cell r="AH325" t="str">
            <v>4551</v>
          </cell>
          <cell r="AP325" t="str">
            <v>No</v>
          </cell>
        </row>
        <row r="326">
          <cell r="K326">
            <v>1</v>
          </cell>
          <cell r="L326">
            <v>1</v>
          </cell>
          <cell r="M326">
            <v>1</v>
          </cell>
          <cell r="N326">
            <v>1</v>
          </cell>
          <cell r="O326">
            <v>1</v>
          </cell>
          <cell r="P326">
            <v>1</v>
          </cell>
          <cell r="Q326">
            <v>1</v>
          </cell>
          <cell r="R326">
            <v>1</v>
          </cell>
          <cell r="S326">
            <v>1</v>
          </cell>
          <cell r="T326" t="str">
            <v>RTO - Current - Application Approved</v>
          </cell>
          <cell r="AA326" t="str">
            <v>30614</v>
          </cell>
          <cell r="AB326" t="str">
            <v>YWAM Townsville Assoc. Inc.</v>
          </cell>
          <cell r="AC326" t="str">
            <v>YWAM Training Townsville</v>
          </cell>
          <cell r="AD326" t="str">
            <v>14 010 381 738</v>
          </cell>
          <cell r="AE326" t="str">
            <v>Mr Kenneth Neil Mulligan (Director); Mr Jared Paul Hoover (Trainer)</v>
          </cell>
          <cell r="AF326" t="str">
            <v>215 Walker Street</v>
          </cell>
          <cell r="AG326" t="str">
            <v>Townsville</v>
          </cell>
          <cell r="AH326" t="str">
            <v>4810</v>
          </cell>
          <cell r="AP326" t="str">
            <v>No</v>
          </cell>
        </row>
        <row r="327">
          <cell r="K327">
            <v>1</v>
          </cell>
          <cell r="L327">
            <v>1</v>
          </cell>
          <cell r="M327">
            <v>1</v>
          </cell>
          <cell r="N327">
            <v>1</v>
          </cell>
          <cell r="O327">
            <v>1</v>
          </cell>
          <cell r="P327">
            <v>1</v>
          </cell>
          <cell r="Q327">
            <v>1</v>
          </cell>
          <cell r="R327">
            <v>1</v>
          </cell>
          <cell r="S327">
            <v>1</v>
          </cell>
          <cell r="T327" t="str">
            <v>RTO - Current - Application Approved</v>
          </cell>
          <cell r="AA327" t="str">
            <v>45555</v>
          </cell>
          <cell r="AB327" t="str">
            <v>Accomplish Training Australia Pty Ltd</v>
          </cell>
          <cell r="AC327" t="str">
            <v>Tradie Training</v>
          </cell>
          <cell r="AD327" t="str">
            <v>85 630 342 504</v>
          </cell>
          <cell r="AE327" t="str">
            <v>Mr Ryan Senn (CEO); Mr Jacob Stevenson-Shaw (Director)</v>
          </cell>
          <cell r="AF327" t="str">
            <v>42 Honeyeater Road</v>
          </cell>
          <cell r="AG327" t="str">
            <v>Burleigh Waters</v>
          </cell>
          <cell r="AH327" t="str">
            <v>4220</v>
          </cell>
          <cell r="AP327" t="str">
            <v>No</v>
          </cell>
        </row>
        <row r="328">
          <cell r="K328">
            <v>1</v>
          </cell>
          <cell r="L328">
            <v>1</v>
          </cell>
          <cell r="M328">
            <v>1</v>
          </cell>
          <cell r="N328">
            <v>1</v>
          </cell>
          <cell r="O328">
            <v>1</v>
          </cell>
          <cell r="P328">
            <v>1</v>
          </cell>
          <cell r="Q328">
            <v>1</v>
          </cell>
          <cell r="R328">
            <v>1</v>
          </cell>
          <cell r="S328">
            <v>1</v>
          </cell>
          <cell r="T328" t="str">
            <v>RTO - Terminated by RTO</v>
          </cell>
          <cell r="AA328" t="str">
            <v>31707</v>
          </cell>
          <cell r="AB328" t="str">
            <v>Auswright Training Pty Ltd</v>
          </cell>
          <cell r="AC328" t="str">
            <v>First Choice Training</v>
          </cell>
          <cell r="AD328" t="str">
            <v>70 146 237 096</v>
          </cell>
          <cell r="AE328" t="str">
            <v>Mr Ian Wright (CEO); Mr Nicholas Walsh (Compliance Manager)</v>
          </cell>
          <cell r="AF328" t="str">
            <v>8 Short Street</v>
          </cell>
          <cell r="AG328" t="str">
            <v>Southport</v>
          </cell>
          <cell r="AH328" t="str">
            <v>4215</v>
          </cell>
          <cell r="AP328" t="str">
            <v>No</v>
          </cell>
        </row>
        <row r="329">
          <cell r="K329">
            <v>1</v>
          </cell>
          <cell r="L329">
            <v>1</v>
          </cell>
          <cell r="M329">
            <v>1</v>
          </cell>
          <cell r="N329">
            <v>1</v>
          </cell>
          <cell r="O329">
            <v>1</v>
          </cell>
          <cell r="P329">
            <v>1</v>
          </cell>
          <cell r="Q329">
            <v>1</v>
          </cell>
          <cell r="R329">
            <v>1</v>
          </cell>
          <cell r="S329">
            <v>1</v>
          </cell>
          <cell r="T329" t="str">
            <v>RTO - Current - Application Approved</v>
          </cell>
          <cell r="AA329" t="str">
            <v>70023</v>
          </cell>
          <cell r="AB329" t="str">
            <v>IM Training Pty Ltd</v>
          </cell>
          <cell r="AC329" t="str">
            <v>On The Job Training</v>
          </cell>
          <cell r="AD329" t="str">
            <v>43 113 508 482</v>
          </cell>
          <cell r="AE329" t="str">
            <v>Mr Matthew William Nolan (CEO); Mr Jacob Rudge (Chief Operations Officer)</v>
          </cell>
          <cell r="AF329" t="str">
            <v>79 Christensen Rd</v>
          </cell>
          <cell r="AG329" t="str">
            <v>Stapylton</v>
          </cell>
          <cell r="AH329" t="str">
            <v>4207</v>
          </cell>
          <cell r="AP329" t="str">
            <v>No</v>
          </cell>
        </row>
        <row r="330">
          <cell r="K330">
            <v>1</v>
          </cell>
          <cell r="L330">
            <v>1</v>
          </cell>
          <cell r="M330">
            <v>1</v>
          </cell>
          <cell r="N330">
            <v>1</v>
          </cell>
          <cell r="O330">
            <v>1</v>
          </cell>
          <cell r="P330">
            <v>1</v>
          </cell>
          <cell r="Q330">
            <v>1</v>
          </cell>
          <cell r="R330">
            <v>1</v>
          </cell>
          <cell r="S330">
            <v>1</v>
          </cell>
          <cell r="T330" t="str">
            <v>RTO - Current - Application Approved</v>
          </cell>
          <cell r="AA330" t="str">
            <v>91206</v>
          </cell>
          <cell r="AB330" t="str">
            <v>IDH Bricklaying Pty Ltd</v>
          </cell>
          <cell r="AC330" t="str">
            <v>GTK Construction Training</v>
          </cell>
          <cell r="AD330" t="str">
            <v>91 096 827 655</v>
          </cell>
          <cell r="AE330" t="str">
            <v>Mr Ian Hillen (CEO)</v>
          </cell>
          <cell r="AF330" t="str">
            <v>1118/27- 37 Bells Blvd</v>
          </cell>
          <cell r="AG330" t="str">
            <v>Kingscliff</v>
          </cell>
          <cell r="AH330" t="str">
            <v>2487</v>
          </cell>
        </row>
        <row r="331">
          <cell r="K331">
            <v>1</v>
          </cell>
          <cell r="L331">
            <v>1</v>
          </cell>
          <cell r="M331">
            <v>1</v>
          </cell>
          <cell r="N331">
            <v>1</v>
          </cell>
          <cell r="O331">
            <v>1</v>
          </cell>
          <cell r="P331">
            <v>1</v>
          </cell>
          <cell r="Q331">
            <v>1</v>
          </cell>
          <cell r="R331">
            <v>1</v>
          </cell>
          <cell r="S331">
            <v>1</v>
          </cell>
          <cell r="T331" t="str">
            <v>RTO - Terminated by RTO</v>
          </cell>
          <cell r="AA331" t="str">
            <v>45111</v>
          </cell>
          <cell r="AB331" t="str">
            <v>Above The Line Safety Solutions Pty Ltd</v>
          </cell>
          <cell r="AC331" t="str">
            <v>N/A</v>
          </cell>
          <cell r="AD331" t="str">
            <v>59 607 314 983</v>
          </cell>
          <cell r="AE331" t="str">
            <v>Mr Glenn Peck (CEO); Ms Jackie Peck (Accounts Manager)</v>
          </cell>
          <cell r="AF331" t="str">
            <v>70 Supply Rd</v>
          </cell>
          <cell r="AG331" t="str">
            <v>Bentley Park</v>
          </cell>
          <cell r="AH331" t="str">
            <v>4869</v>
          </cell>
          <cell r="AP331" t="str">
            <v>No</v>
          </cell>
        </row>
        <row r="332">
          <cell r="K332">
            <v>1</v>
          </cell>
          <cell r="L332">
            <v>1</v>
          </cell>
          <cell r="M332">
            <v>1</v>
          </cell>
          <cell r="N332">
            <v>1</v>
          </cell>
          <cell r="O332">
            <v>1</v>
          </cell>
          <cell r="P332">
            <v>1</v>
          </cell>
          <cell r="Q332">
            <v>1</v>
          </cell>
          <cell r="R332">
            <v>1</v>
          </cell>
          <cell r="S332">
            <v>1</v>
          </cell>
          <cell r="T332" t="str">
            <v>RTO - Current - Application Approved</v>
          </cell>
          <cell r="AA332" t="str">
            <v>31541</v>
          </cell>
          <cell r="AB332" t="str">
            <v>Monand Pty Ltd as Trustee for the Maunder Family Trust</v>
          </cell>
          <cell r="AC332" t="str">
            <v>Safety Management Solutions</v>
          </cell>
          <cell r="AD332" t="str">
            <v>19 633 938 370</v>
          </cell>
          <cell r="AE332" t="str">
            <v>Mr Andrew Maunder (CEO); Ms Monique Maunder (Operations Manager)</v>
          </cell>
          <cell r="AF332" t="str">
            <v>Suite 10, Woree Business Centre, 12-20 Toogood Rd</v>
          </cell>
          <cell r="AG332" t="str">
            <v>Woree</v>
          </cell>
          <cell r="AH332" t="str">
            <v>4868</v>
          </cell>
          <cell r="AP332" t="str">
            <v>No</v>
          </cell>
        </row>
        <row r="333">
          <cell r="K333">
            <v>1</v>
          </cell>
          <cell r="L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R333">
            <v>1</v>
          </cell>
          <cell r="S333">
            <v>1</v>
          </cell>
          <cell r="T333" t="str">
            <v>RTO - Current - Application Approved</v>
          </cell>
          <cell r="AA333" t="str">
            <v>41356</v>
          </cell>
          <cell r="AB333" t="str">
            <v>Servitium Group Pty Ltd</v>
          </cell>
          <cell r="AC333" t="str">
            <v>N/A</v>
          </cell>
          <cell r="AD333" t="str">
            <v>79 159 114 959</v>
          </cell>
          <cell r="AE333" t="str">
            <v>Mr Robert Challinder (CEO); Mrs Karen Challinder (Director)</v>
          </cell>
          <cell r="AF333" t="str">
            <v>55 Neil Street</v>
          </cell>
          <cell r="AG333" t="str">
            <v>Toowoomba</v>
          </cell>
          <cell r="AH333" t="str">
            <v>4350</v>
          </cell>
          <cell r="AP333" t="str">
            <v>No</v>
          </cell>
        </row>
        <row r="334">
          <cell r="K334">
            <v>1</v>
          </cell>
          <cell r="L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R334">
            <v>1</v>
          </cell>
          <cell r="S334">
            <v>1</v>
          </cell>
          <cell r="T334" t="str">
            <v>RTO - Terminated by RTO</v>
          </cell>
          <cell r="AA334" t="str">
            <v>45502</v>
          </cell>
          <cell r="AB334" t="str">
            <v>Australian Institute of Arboriculture Pty Ltd as Trustee for the AIA Family Trust</v>
          </cell>
          <cell r="AC334" t="str">
            <v>Australian Institute of Arboriculture</v>
          </cell>
          <cell r="AD334" t="str">
            <v>44 829 434 245</v>
          </cell>
          <cell r="AE334" t="str">
            <v>Mr Craig Reid (CEO)</v>
          </cell>
          <cell r="AF334" t="str">
            <v>10 Yalkuri Drive</v>
          </cell>
          <cell r="AG334" t="str">
            <v>Nerang</v>
          </cell>
          <cell r="AH334" t="str">
            <v>4211</v>
          </cell>
          <cell r="AP334" t="str">
            <v>No</v>
          </cell>
        </row>
        <row r="335">
          <cell r="K335">
            <v>1</v>
          </cell>
          <cell r="L335">
            <v>1</v>
          </cell>
          <cell r="M335">
            <v>1</v>
          </cell>
          <cell r="N335">
            <v>1</v>
          </cell>
          <cell r="O335">
            <v>1</v>
          </cell>
          <cell r="P335">
            <v>1</v>
          </cell>
          <cell r="Q335">
            <v>1</v>
          </cell>
          <cell r="R335">
            <v>1</v>
          </cell>
          <cell r="S335">
            <v>1</v>
          </cell>
          <cell r="T335" t="str">
            <v>RTO - Current - Application Approved</v>
          </cell>
          <cell r="AA335" t="str">
            <v>32394</v>
          </cell>
          <cell r="AB335" t="str">
            <v>Calibre Training &amp; Development Pty Ltd as Trustee for the Calibre Unit Trust</v>
          </cell>
          <cell r="AC335" t="str">
            <v>N/A</v>
          </cell>
          <cell r="AD335" t="str">
            <v>15 743 049 634</v>
          </cell>
          <cell r="AE335" t="str">
            <v>Ms Helen Briggs</v>
          </cell>
          <cell r="AF335" t="str">
            <v>Unit 3B, 525 Lytton Rd</v>
          </cell>
          <cell r="AG335" t="str">
            <v>Morningside</v>
          </cell>
          <cell r="AH335" t="str">
            <v>4170</v>
          </cell>
          <cell r="AP335" t="str">
            <v>No</v>
          </cell>
        </row>
        <row r="336">
          <cell r="K336">
            <v>1</v>
          </cell>
          <cell r="L336">
            <v>1</v>
          </cell>
          <cell r="M336">
            <v>1</v>
          </cell>
          <cell r="N336">
            <v>1</v>
          </cell>
          <cell r="O336">
            <v>1</v>
          </cell>
          <cell r="P336">
            <v>1</v>
          </cell>
          <cell r="Q336">
            <v>1</v>
          </cell>
          <cell r="R336">
            <v>1</v>
          </cell>
          <cell r="S336">
            <v>1</v>
          </cell>
          <cell r="T336" t="str">
            <v>RTO - Current - Application Approved</v>
          </cell>
          <cell r="AA336" t="str">
            <v>41248</v>
          </cell>
          <cell r="AB336" t="str">
            <v>Maxx International Pty. Ltd.</v>
          </cell>
          <cell r="AC336" t="str">
            <v>Abacus College</v>
          </cell>
          <cell r="AD336" t="str">
            <v>77 156 558 164</v>
          </cell>
          <cell r="AE336" t="str">
            <v>Mr Pushpinder Singh (Chief Executive Officer); Mr Paviter Noori (Chief Executive Officer)</v>
          </cell>
          <cell r="AF336" t="str">
            <v>Level 1, 1009 Ipswich Rd</v>
          </cell>
          <cell r="AG336" t="str">
            <v>Moorooka</v>
          </cell>
          <cell r="AH336" t="str">
            <v>4105</v>
          </cell>
          <cell r="AP336" t="str">
            <v>No</v>
          </cell>
        </row>
        <row r="337">
          <cell r="K337">
            <v>1</v>
          </cell>
          <cell r="L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R337">
            <v>1</v>
          </cell>
          <cell r="S337">
            <v>1</v>
          </cell>
          <cell r="T337" t="str">
            <v>RTO - Current - Application Approved</v>
          </cell>
          <cell r="AA337" t="str">
            <v>40739</v>
          </cell>
          <cell r="AB337" t="str">
            <v>Thoughtplanters (Australia) Pty Ltd</v>
          </cell>
          <cell r="AC337" t="str">
            <v>N/A</v>
          </cell>
          <cell r="AD337" t="str">
            <v>21 158 006 565</v>
          </cell>
          <cell r="AE337" t="str">
            <v>Ms Gillian Reardon; Mr Trevor Gardiner (CEO)</v>
          </cell>
          <cell r="AF337" t="str">
            <v>Level 6, 69 Reservoir St</v>
          </cell>
          <cell r="AG337" t="str">
            <v>Surry Hill</v>
          </cell>
          <cell r="AH337" t="str">
            <v>2010</v>
          </cell>
          <cell r="AP337" t="str">
            <v>No</v>
          </cell>
        </row>
        <row r="338">
          <cell r="K338">
            <v>1</v>
          </cell>
          <cell r="L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R338">
            <v>1</v>
          </cell>
          <cell r="S338">
            <v>1</v>
          </cell>
          <cell r="T338" t="str">
            <v>RTO - Current - Application Approved</v>
          </cell>
          <cell r="AA338" t="str">
            <v>31634</v>
          </cell>
          <cell r="AB338" t="str">
            <v>Crumps International Pty Ltd</v>
          </cell>
          <cell r="AC338" t="str">
            <v>English In Paradise</v>
          </cell>
          <cell r="AD338" t="str">
            <v>97 100 506 572</v>
          </cell>
          <cell r="AE338" t="str">
            <v>Mr Shaun O'Connor (CEO)</v>
          </cell>
          <cell r="AF338" t="str">
            <v>Level 5, 50 Appel St</v>
          </cell>
          <cell r="AG338" t="str">
            <v>Surfers Paradise</v>
          </cell>
          <cell r="AH338" t="str">
            <v>4217</v>
          </cell>
          <cell r="AP338" t="str">
            <v>No</v>
          </cell>
        </row>
        <row r="339">
          <cell r="K339">
            <v>1</v>
          </cell>
          <cell r="L339">
            <v>1</v>
          </cell>
          <cell r="M339">
            <v>1</v>
          </cell>
          <cell r="N339">
            <v>1</v>
          </cell>
          <cell r="O339">
            <v>1</v>
          </cell>
          <cell r="P339">
            <v>1</v>
          </cell>
          <cell r="Q339">
            <v>1</v>
          </cell>
          <cell r="R339">
            <v>1</v>
          </cell>
          <cell r="S339">
            <v>1</v>
          </cell>
          <cell r="T339" t="str">
            <v>RTO - Terminated by RTO</v>
          </cell>
          <cell r="AA339" t="str">
            <v>31884</v>
          </cell>
          <cell r="AB339" t="str">
            <v>Global Training Services Pty Ltd</v>
          </cell>
          <cell r="AC339" t="str">
            <v>Global Training Services Pty Ltd</v>
          </cell>
          <cell r="AD339" t="str">
            <v>46 133 690 909</v>
          </cell>
          <cell r="AE339" t="str">
            <v>Jo- Anne Powell</v>
          </cell>
          <cell r="AF339" t="str">
            <v>U16/ 1645 Ipswich Rd</v>
          </cell>
          <cell r="AG339" t="str">
            <v>Rocklea</v>
          </cell>
          <cell r="AH339" t="str">
            <v>4106</v>
          </cell>
        </row>
        <row r="340">
          <cell r="K340">
            <v>1</v>
          </cell>
          <cell r="L340">
            <v>1</v>
          </cell>
          <cell r="M340">
            <v>1</v>
          </cell>
          <cell r="N340">
            <v>1</v>
          </cell>
          <cell r="O340">
            <v>1</v>
          </cell>
          <cell r="P340">
            <v>1</v>
          </cell>
          <cell r="Q340">
            <v>1</v>
          </cell>
          <cell r="R340">
            <v>1</v>
          </cell>
          <cell r="S340">
            <v>1</v>
          </cell>
          <cell r="T340" t="str">
            <v>RTO - Current - Application Approved</v>
          </cell>
          <cell r="AA340" t="str">
            <v>30337</v>
          </cell>
          <cell r="AB340" t="str">
            <v>Miles State High School</v>
          </cell>
          <cell r="AC340" t="str">
            <v>Miles State High School</v>
          </cell>
          <cell r="AD340" t="str">
            <v>31 890 491 841</v>
          </cell>
          <cell r="AE340" t="str">
            <v>Mr David Armstrong (CEO); Ms Suzanne Pinkney (Manager)</v>
          </cell>
          <cell r="AF340" t="str">
            <v>37 Pine St</v>
          </cell>
          <cell r="AG340" t="str">
            <v>Miles</v>
          </cell>
          <cell r="AH340" t="str">
            <v>4415</v>
          </cell>
          <cell r="AP340" t="str">
            <v>Yes</v>
          </cell>
        </row>
        <row r="341">
          <cell r="K341">
            <v>1</v>
          </cell>
          <cell r="L341">
            <v>1</v>
          </cell>
          <cell r="M341">
            <v>1</v>
          </cell>
          <cell r="N341">
            <v>1</v>
          </cell>
          <cell r="O341">
            <v>1</v>
          </cell>
          <cell r="P341">
            <v>1</v>
          </cell>
          <cell r="Q341">
            <v>1</v>
          </cell>
          <cell r="R341">
            <v>1</v>
          </cell>
          <cell r="S341">
            <v>1</v>
          </cell>
          <cell r="T341" t="str">
            <v>RTO - Current - Application Approved</v>
          </cell>
          <cell r="AA341" t="str">
            <v>32146</v>
          </cell>
          <cell r="AB341" t="str">
            <v>Hartwell Pastoral Co Pty Ltd as trustee for KM Hartwell Family Trust</v>
          </cell>
          <cell r="AC341" t="str">
            <v>Animal Industry Training Services</v>
          </cell>
          <cell r="AD341" t="str">
            <v>92 868 569 940</v>
          </cell>
          <cell r="AE341" t="str">
            <v>Mr Jason Hartwell; Mrs Katrina Maree Hartwell (Manager)</v>
          </cell>
          <cell r="AF341" t="str">
            <v>10 Clermont St</v>
          </cell>
          <cell r="AG341" t="str">
            <v>Emerald</v>
          </cell>
          <cell r="AH341" t="str">
            <v>4720</v>
          </cell>
          <cell r="AP341" t="str">
            <v>No</v>
          </cell>
        </row>
        <row r="342">
          <cell r="K342">
            <v>1</v>
          </cell>
          <cell r="L342">
            <v>1</v>
          </cell>
          <cell r="M342">
            <v>1</v>
          </cell>
          <cell r="N342">
            <v>1</v>
          </cell>
          <cell r="O342">
            <v>1</v>
          </cell>
          <cell r="P342">
            <v>1</v>
          </cell>
          <cell r="Q342">
            <v>1</v>
          </cell>
          <cell r="R342">
            <v>1</v>
          </cell>
          <cell r="S342">
            <v>1</v>
          </cell>
          <cell r="T342" t="str">
            <v>RTO - Current - Application Approved</v>
          </cell>
          <cell r="AA342" t="str">
            <v>31900</v>
          </cell>
          <cell r="AB342" t="str">
            <v>MyneSight Pty Ltd</v>
          </cell>
          <cell r="AC342" t="str">
            <v>N/A</v>
          </cell>
          <cell r="AD342" t="str">
            <v>79 130 961 714</v>
          </cell>
          <cell r="AE342" t="str">
            <v>Ms Larnie Mackay (CEO); Mr Justin Bachmann (Compliance)</v>
          </cell>
          <cell r="AF342" t="str">
            <v>45 River St</v>
          </cell>
          <cell r="AG342" t="str">
            <v>Mackay</v>
          </cell>
          <cell r="AH342" t="str">
            <v>4740</v>
          </cell>
          <cell r="AP342" t="str">
            <v>No</v>
          </cell>
        </row>
        <row r="343">
          <cell r="K343">
            <v>1</v>
          </cell>
          <cell r="L343">
            <v>1</v>
          </cell>
          <cell r="M343">
            <v>1</v>
          </cell>
          <cell r="N343">
            <v>1</v>
          </cell>
          <cell r="O343">
            <v>1</v>
          </cell>
          <cell r="P343">
            <v>1</v>
          </cell>
          <cell r="Q343">
            <v>1</v>
          </cell>
          <cell r="R343">
            <v>1</v>
          </cell>
          <cell r="S343">
            <v>1</v>
          </cell>
          <cell r="T343" t="str">
            <v>RTO - Current - Application Approved</v>
          </cell>
          <cell r="AA343" t="str">
            <v>30166</v>
          </cell>
          <cell r="AB343" t="str">
            <v>Djarragun College Limited</v>
          </cell>
          <cell r="AC343" t="str">
            <v>Djarragun College</v>
          </cell>
          <cell r="AD343" t="str">
            <v>58 063 049 669</v>
          </cell>
          <cell r="AE343" t="str">
            <v>Mr Michael Barton (CEO); Ms Jelly Ann Mayuga (RTO Manager)</v>
          </cell>
          <cell r="AF343" t="str">
            <v>1 Maher Rd</v>
          </cell>
          <cell r="AG343" t="str">
            <v>Gordonvale</v>
          </cell>
          <cell r="AH343" t="str">
            <v>4865</v>
          </cell>
          <cell r="AP343" t="str">
            <v>Yes</v>
          </cell>
        </row>
        <row r="344">
          <cell r="K344">
            <v>1</v>
          </cell>
          <cell r="L344">
            <v>1</v>
          </cell>
          <cell r="M344">
            <v>1</v>
          </cell>
          <cell r="N344">
            <v>1</v>
          </cell>
          <cell r="O344">
            <v>1</v>
          </cell>
          <cell r="P344">
            <v>1</v>
          </cell>
          <cell r="Q344">
            <v>1</v>
          </cell>
          <cell r="R344">
            <v>1</v>
          </cell>
          <cell r="S344">
            <v>1</v>
          </cell>
          <cell r="T344" t="str">
            <v>RTO - Terminated by RTO</v>
          </cell>
          <cell r="AA344" t="str">
            <v>41030</v>
          </cell>
          <cell r="AB344" t="str">
            <v>Macallan College Pty Ltd</v>
          </cell>
          <cell r="AC344" t="str">
            <v>Macallan College</v>
          </cell>
          <cell r="AD344" t="str">
            <v>36 165 356 141</v>
          </cell>
          <cell r="AE344" t="str">
            <v>Mrs Debbie Phipps (Chief Executive Officer)</v>
          </cell>
          <cell r="AF344" t="str">
            <v>155 Wellington Rd</v>
          </cell>
          <cell r="AG344" t="str">
            <v>EAST BRISBANE</v>
          </cell>
          <cell r="AH344" t="str">
            <v>4169</v>
          </cell>
          <cell r="AP344" t="str">
            <v>No</v>
          </cell>
        </row>
        <row r="345">
          <cell r="K345">
            <v>1</v>
          </cell>
          <cell r="L345">
            <v>1</v>
          </cell>
          <cell r="M345">
            <v>1</v>
          </cell>
          <cell r="N345">
            <v>1</v>
          </cell>
          <cell r="O345">
            <v>1</v>
          </cell>
          <cell r="P345">
            <v>1</v>
          </cell>
          <cell r="Q345">
            <v>1</v>
          </cell>
          <cell r="R345">
            <v>1</v>
          </cell>
          <cell r="S345">
            <v>1</v>
          </cell>
          <cell r="T345" t="str">
            <v>RTO - Current - Application Approved</v>
          </cell>
          <cell r="AA345" t="str">
            <v>40889</v>
          </cell>
          <cell r="AB345" t="str">
            <v>TECTRA Australia Pty Ltd</v>
          </cell>
          <cell r="AC345" t="str">
            <v>N/A</v>
          </cell>
          <cell r="AD345" t="str">
            <v>95 162 135 435</v>
          </cell>
          <cell r="AE345" t="str">
            <v>Mr Michael Parkinson (CEO); Ms Estelle Timmermans (Compliance Manager)</v>
          </cell>
          <cell r="AF345" t="str">
            <v>8 Technology Dr</v>
          </cell>
          <cell r="AG345" t="str">
            <v>Warana</v>
          </cell>
          <cell r="AH345" t="str">
            <v>4575</v>
          </cell>
          <cell r="AP345" t="str">
            <v>No</v>
          </cell>
        </row>
        <row r="346">
          <cell r="K346">
            <v>1</v>
          </cell>
          <cell r="L346">
            <v>1</v>
          </cell>
          <cell r="M346">
            <v>1</v>
          </cell>
          <cell r="N346">
            <v>1</v>
          </cell>
          <cell r="O346">
            <v>1</v>
          </cell>
          <cell r="P346">
            <v>1</v>
          </cell>
          <cell r="Q346">
            <v>1</v>
          </cell>
          <cell r="R346">
            <v>1</v>
          </cell>
          <cell r="S346">
            <v>1</v>
          </cell>
          <cell r="T346" t="str">
            <v>RTO - Current - Application Approved</v>
          </cell>
          <cell r="AA346" t="str">
            <v>30527</v>
          </cell>
          <cell r="AB346" t="str">
            <v>The Corporation of the Trustees of the Roman Catholic Archdiocese of Brisbane</v>
          </cell>
          <cell r="AC346" t="str">
            <v>N/A</v>
          </cell>
          <cell r="AD346" t="str">
            <v>49 991 006 857</v>
          </cell>
          <cell r="AE346" t="str">
            <v>Ms Allison Elcoate (CEO); Ms Alicki Campbel (RTO Manager)</v>
          </cell>
          <cell r="AF346" t="str">
            <v>4 Scott Street</v>
          </cell>
          <cell r="AG346" t="str">
            <v>Beenleigh</v>
          </cell>
          <cell r="AH346" t="str">
            <v>4207</v>
          </cell>
          <cell r="AP346" t="str">
            <v>Yes</v>
          </cell>
        </row>
        <row r="347">
          <cell r="K347">
            <v>1</v>
          </cell>
          <cell r="L347">
            <v>1</v>
          </cell>
          <cell r="M347">
            <v>1</v>
          </cell>
          <cell r="N347">
            <v>1</v>
          </cell>
          <cell r="O347">
            <v>1</v>
          </cell>
          <cell r="P347">
            <v>1</v>
          </cell>
          <cell r="Q347">
            <v>1</v>
          </cell>
          <cell r="R347">
            <v>1</v>
          </cell>
          <cell r="S347">
            <v>1</v>
          </cell>
          <cell r="T347" t="str">
            <v>RTO - Terminated - ASQA Registration/Scope Ended</v>
          </cell>
          <cell r="AA347" t="str">
            <v>40407</v>
          </cell>
          <cell r="AB347" t="str">
            <v>Sharon McCulloch</v>
          </cell>
          <cell r="AC347" t="str">
            <v>Firstaidpro</v>
          </cell>
          <cell r="AD347" t="str">
            <v>79 752 489 758</v>
          </cell>
          <cell r="AE347" t="str">
            <v>Ms Sharon McCulloch (CEO); Mr Jarrad Broadhurst (General Manager)</v>
          </cell>
          <cell r="AF347" t="str">
            <v>20 Taylors Ave</v>
          </cell>
          <cell r="AG347" t="str">
            <v>Morphett Vale</v>
          </cell>
          <cell r="AH347" t="str">
            <v>5162</v>
          </cell>
          <cell r="AP347" t="str">
            <v>No</v>
          </cell>
        </row>
        <row r="348"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 t="str">
            <v>RTO - Current - Application Approved</v>
          </cell>
          <cell r="AA348" t="str">
            <v>41096</v>
          </cell>
          <cell r="AB348" t="str">
            <v>Ashton Lee Pty Ltd as trustee for the Ashton Lee Family Trust</v>
          </cell>
          <cell r="AC348" t="str">
            <v>Training &amp; Personnel Australia</v>
          </cell>
          <cell r="AD348" t="str">
            <v>56 234 187 541</v>
          </cell>
          <cell r="AE348" t="str">
            <v>Miss Jasmin Downey (Director); Mr Michael Whittle (Chief Executive Officer)</v>
          </cell>
          <cell r="AF348" t="str">
            <v>922-926 Ingham Rd</v>
          </cell>
          <cell r="AG348" t="str">
            <v>Bohle</v>
          </cell>
          <cell r="AH348" t="str">
            <v>4818</v>
          </cell>
          <cell r="AP348" t="str">
            <v>No</v>
          </cell>
        </row>
        <row r="349"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 t="str">
            <v>RTO - Current - Application Approved</v>
          </cell>
          <cell r="AA349" t="str">
            <v>91826</v>
          </cell>
          <cell r="AB349" t="str">
            <v>AlertForce Pty Ltd</v>
          </cell>
          <cell r="AC349" t="str">
            <v>AlertForce</v>
          </cell>
          <cell r="AD349" t="str">
            <v>78 122 392 778</v>
          </cell>
          <cell r="AE349" t="str">
            <v>Mr Brendan Torazzi (CEO); Ms Susan Whitla (Manager)</v>
          </cell>
          <cell r="AF349" t="str">
            <v>Suite 104 24-30 Springfield Ave</v>
          </cell>
          <cell r="AG349" t="str">
            <v>Potts Point</v>
          </cell>
          <cell r="AH349" t="str">
            <v>2011</v>
          </cell>
          <cell r="AP349" t="str">
            <v>No</v>
          </cell>
        </row>
        <row r="350">
          <cell r="K350">
            <v>1</v>
          </cell>
          <cell r="L350">
            <v>1</v>
          </cell>
          <cell r="M350">
            <v>1</v>
          </cell>
          <cell r="N350">
            <v>1</v>
          </cell>
          <cell r="O350">
            <v>1</v>
          </cell>
          <cell r="P350">
            <v>1</v>
          </cell>
          <cell r="Q350">
            <v>1</v>
          </cell>
          <cell r="R350">
            <v>1</v>
          </cell>
          <cell r="S350">
            <v>1</v>
          </cell>
          <cell r="T350" t="str">
            <v>RTO - Terminated - ASQA Registration/Scope Ended</v>
          </cell>
          <cell r="AA350" t="str">
            <v>30498</v>
          </cell>
          <cell r="AB350" t="str">
            <v>Edmund Rice Education Australia</v>
          </cell>
          <cell r="AC350" t="str">
            <v>St Joseph's Nudgee College</v>
          </cell>
          <cell r="AD350" t="str">
            <v>96 372 268 340</v>
          </cell>
          <cell r="AE350" t="str">
            <v>Mr Peter Fullagar (Principal); Mr. Paul Doneley</v>
          </cell>
          <cell r="AF350" t="str">
            <v>2199 Sandgate Rd, Boondall Qld 4034</v>
          </cell>
          <cell r="AG350" t="str">
            <v>Boondall</v>
          </cell>
          <cell r="AH350" t="str">
            <v>4034</v>
          </cell>
          <cell r="AP350" t="str">
            <v>Yes</v>
          </cell>
        </row>
        <row r="351">
          <cell r="K351">
            <v>1</v>
          </cell>
          <cell r="L351">
            <v>1</v>
          </cell>
          <cell r="M351">
            <v>1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R351">
            <v>1</v>
          </cell>
          <cell r="S351">
            <v>1</v>
          </cell>
          <cell r="T351" t="str">
            <v>RTO - Current - Application Approved</v>
          </cell>
          <cell r="AA351" t="str">
            <v>45281</v>
          </cell>
          <cell r="AB351" t="str">
            <v>Spencer Technical College Pty Ltd</v>
          </cell>
          <cell r="AC351" t="str">
            <v>N/A</v>
          </cell>
          <cell r="AD351" t="str">
            <v>16 615 610 378</v>
          </cell>
          <cell r="AE351" t="str">
            <v>Mr Tejinder Singh (CEO); Ms Sumiran Kaur (Administration)</v>
          </cell>
          <cell r="AF351" t="str">
            <v>16 Lotus St</v>
          </cell>
          <cell r="AG351" t="str">
            <v>Woolloongabba</v>
          </cell>
          <cell r="AH351" t="str">
            <v>4000</v>
          </cell>
          <cell r="AP351" t="str">
            <v>No</v>
          </cell>
        </row>
        <row r="352">
          <cell r="K352">
            <v>1</v>
          </cell>
          <cell r="L352">
            <v>1</v>
          </cell>
          <cell r="M352">
            <v>1</v>
          </cell>
          <cell r="N352">
            <v>1</v>
          </cell>
          <cell r="O352">
            <v>1</v>
          </cell>
          <cell r="P352">
            <v>1</v>
          </cell>
          <cell r="Q352">
            <v>1</v>
          </cell>
          <cell r="R352">
            <v>1</v>
          </cell>
          <cell r="S352">
            <v>1</v>
          </cell>
          <cell r="T352" t="str">
            <v>RTO - Current - Application Approved</v>
          </cell>
          <cell r="AA352" t="str">
            <v>30118</v>
          </cell>
          <cell r="AB352" t="str">
            <v>Wynnum State High School</v>
          </cell>
          <cell r="AC352" t="str">
            <v>Wynnum State High School</v>
          </cell>
          <cell r="AD352" t="str">
            <v>48 682 450 518</v>
          </cell>
          <cell r="AE352" t="str">
            <v>Ms Sandra Quinn, Ms Roslyn Richards (VET RTO Manager),</v>
          </cell>
          <cell r="AF352" t="str">
            <v>25 Peel Street</v>
          </cell>
          <cell r="AG352" t="str">
            <v>Manly</v>
          </cell>
          <cell r="AH352" t="str">
            <v>4179</v>
          </cell>
          <cell r="AP352" t="str">
            <v>Yes</v>
          </cell>
        </row>
        <row r="353">
          <cell r="K353">
            <v>1</v>
          </cell>
          <cell r="L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 t="str">
            <v>RTO - Current - Application Approved</v>
          </cell>
          <cell r="AA353" t="str">
            <v>45438</v>
          </cell>
          <cell r="AB353" t="str">
            <v>National Skills Pty Ltd</v>
          </cell>
          <cell r="AC353" t="str">
            <v>N/A</v>
          </cell>
          <cell r="AD353" t="str">
            <v>65 625 313 199</v>
          </cell>
          <cell r="AE353" t="str">
            <v>Mr Drewe Kohl (CEO); Mr Scott Regan (Senior Training Manager)</v>
          </cell>
          <cell r="AF353" t="str">
            <v>8 Penelope Dr</v>
          </cell>
          <cell r="AG353" t="str">
            <v>Cornubia</v>
          </cell>
          <cell r="AH353" t="str">
            <v>4130</v>
          </cell>
          <cell r="AP353" t="str">
            <v>No</v>
          </cell>
        </row>
        <row r="354">
          <cell r="K354">
            <v>1</v>
          </cell>
          <cell r="L354">
            <v>1</v>
          </cell>
          <cell r="M354">
            <v>1</v>
          </cell>
          <cell r="N354">
            <v>1</v>
          </cell>
          <cell r="O354">
            <v>1</v>
          </cell>
          <cell r="P354">
            <v>1</v>
          </cell>
          <cell r="Q354">
            <v>1</v>
          </cell>
          <cell r="R354">
            <v>1</v>
          </cell>
          <cell r="S354">
            <v>1</v>
          </cell>
          <cell r="T354" t="str">
            <v>RTO - Current - Application Approved</v>
          </cell>
          <cell r="AA354" t="str">
            <v>40914</v>
          </cell>
          <cell r="AB354" t="str">
            <v>Spice Training Pty Ltd</v>
          </cell>
          <cell r="AC354" t="str">
            <v>N/A</v>
          </cell>
          <cell r="AD354" t="str">
            <v>88 145 324 296</v>
          </cell>
          <cell r="AE354" t="str">
            <v>Mrs Amanda Schloss (Chief Executive Officer)</v>
          </cell>
          <cell r="AF354" t="str">
            <v>82 Eagle St</v>
          </cell>
          <cell r="AG354" t="str">
            <v>Brisbane</v>
          </cell>
          <cell r="AH354" t="str">
            <v>4000</v>
          </cell>
          <cell r="AP354" t="str">
            <v>No</v>
          </cell>
        </row>
        <row r="355">
          <cell r="K355">
            <v>1</v>
          </cell>
          <cell r="L355">
            <v>1</v>
          </cell>
          <cell r="M355">
            <v>1</v>
          </cell>
          <cell r="N355">
            <v>1</v>
          </cell>
          <cell r="O355">
            <v>1</v>
          </cell>
          <cell r="P355">
            <v>1</v>
          </cell>
          <cell r="Q355">
            <v>1</v>
          </cell>
          <cell r="R355">
            <v>1</v>
          </cell>
          <cell r="S355">
            <v>1</v>
          </cell>
          <cell r="T355" t="str">
            <v>RTO - Terminated - ASQA Registration/Scope Ended</v>
          </cell>
          <cell r="AA355" t="str">
            <v>122052</v>
          </cell>
          <cell r="AB355" t="str">
            <v>Learning Dimensions Network Pty Ltd</v>
          </cell>
          <cell r="AC355" t="str">
            <v>Safety Dimensions/ Worksafe Dimensions/ Leadership Dimensions/ Learning Dimensions International</v>
          </cell>
          <cell r="AD355" t="str">
            <v>37 060 597 284</v>
          </cell>
          <cell r="AE355" t="str">
            <v>Frances Hou</v>
          </cell>
          <cell r="AF355" t="str">
            <v>22 Easey Street</v>
          </cell>
          <cell r="AG355" t="str">
            <v>Collingwood</v>
          </cell>
          <cell r="AH355" t="str">
            <v>3066</v>
          </cell>
        </row>
        <row r="356">
          <cell r="K356">
            <v>1</v>
          </cell>
          <cell r="L356">
            <v>1</v>
          </cell>
          <cell r="M356">
            <v>1</v>
          </cell>
          <cell r="N356">
            <v>1</v>
          </cell>
          <cell r="O356">
            <v>1</v>
          </cell>
          <cell r="P356">
            <v>1</v>
          </cell>
          <cell r="Q356">
            <v>1</v>
          </cell>
          <cell r="R356">
            <v>1</v>
          </cell>
          <cell r="S356">
            <v>1</v>
          </cell>
          <cell r="T356" t="str">
            <v>RTO - Current - Application Approved</v>
          </cell>
          <cell r="AA356" t="str">
            <v>31160</v>
          </cell>
          <cell r="AB356" t="str">
            <v>Vertical Horizonz Australia Pty Ltd</v>
          </cell>
          <cell r="AC356" t="str">
            <v>N/A</v>
          </cell>
          <cell r="AD356" t="str">
            <v>97 097 721 474</v>
          </cell>
          <cell r="AE356" t="str">
            <v>Mr James Mohan (CEO); Mr Dave Maiden (Operations Manager)</v>
          </cell>
          <cell r="AF356" t="str">
            <v>1/214 Leitchs Rd</v>
          </cell>
          <cell r="AG356" t="str">
            <v>Brendale</v>
          </cell>
          <cell r="AH356" t="str">
            <v>4500</v>
          </cell>
          <cell r="AP356" t="str">
            <v>No</v>
          </cell>
        </row>
        <row r="357">
          <cell r="K357">
            <v>1</v>
          </cell>
          <cell r="L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 t="str">
            <v>RTO - Current - Application Approved</v>
          </cell>
          <cell r="AA357" t="str">
            <v>0678</v>
          </cell>
          <cell r="AB357" t="str">
            <v>Guardrite Security and Industry Training Pty Ltd</v>
          </cell>
          <cell r="AC357" t="str">
            <v>Gold Coast General Business Training</v>
          </cell>
          <cell r="AD357" t="str">
            <v>94 081 062 973</v>
          </cell>
          <cell r="AE357" t="str">
            <v>Brendan Torazzi (CEO); Susan Whitla (Manager)</v>
          </cell>
          <cell r="AF357" t="str">
            <v>Suite 104 24-30 Springfield Ave</v>
          </cell>
          <cell r="AG357" t="str">
            <v>Potts Point</v>
          </cell>
          <cell r="AH357" t="str">
            <v>2011</v>
          </cell>
          <cell r="AP357" t="str">
            <v>No</v>
          </cell>
        </row>
        <row r="358">
          <cell r="K358">
            <v>1</v>
          </cell>
          <cell r="L358">
            <v>1</v>
          </cell>
          <cell r="M358">
            <v>1</v>
          </cell>
          <cell r="N358">
            <v>1</v>
          </cell>
          <cell r="O358">
            <v>1</v>
          </cell>
          <cell r="P358">
            <v>1</v>
          </cell>
          <cell r="Q358">
            <v>1</v>
          </cell>
          <cell r="R358">
            <v>1</v>
          </cell>
          <cell r="S358">
            <v>1</v>
          </cell>
          <cell r="T358" t="str">
            <v>RTO - Terminated by RTO</v>
          </cell>
          <cell r="AA358" t="str">
            <v>32448</v>
          </cell>
          <cell r="AB358" t="str">
            <v>Academique Pty Ltd</v>
          </cell>
          <cell r="AC358" t="str">
            <v>Academique Pty Ltd</v>
          </cell>
          <cell r="AD358" t="str">
            <v>14 150 180 297</v>
          </cell>
          <cell r="AE358" t="str">
            <v>David Dolley</v>
          </cell>
          <cell r="AF358" t="str">
            <v>51 Nerang st</v>
          </cell>
          <cell r="AG358" t="str">
            <v>South Port</v>
          </cell>
          <cell r="AH358" t="str">
            <v>4215</v>
          </cell>
        </row>
        <row r="359">
          <cell r="K359">
            <v>1</v>
          </cell>
          <cell r="L359">
            <v>1</v>
          </cell>
          <cell r="M359">
            <v>1</v>
          </cell>
          <cell r="N359">
            <v>1</v>
          </cell>
          <cell r="O359">
            <v>1</v>
          </cell>
          <cell r="P359">
            <v>1</v>
          </cell>
          <cell r="Q359">
            <v>1</v>
          </cell>
          <cell r="R359">
            <v>1</v>
          </cell>
          <cell r="S359">
            <v>1</v>
          </cell>
          <cell r="T359" t="str">
            <v>RTO - Current - Application Approved</v>
          </cell>
          <cell r="AA359" t="str">
            <v>32509</v>
          </cell>
          <cell r="AB359" t="str">
            <v>EM-Care Pty Ltd</v>
          </cell>
          <cell r="AC359" t="str">
            <v>N/A</v>
          </cell>
          <cell r="AD359" t="str">
            <v>29 114 998 042</v>
          </cell>
          <cell r="AE359" t="str">
            <v>Mr John Clinton (CEO); Ms Evelyn Clinton (Manager)</v>
          </cell>
          <cell r="AF359" t="str">
            <v>Unit 4, 17 - 19 Lennox Street</v>
          </cell>
          <cell r="AG359" t="str">
            <v>Redland</v>
          </cell>
          <cell r="AH359" t="str">
            <v>4165</v>
          </cell>
          <cell r="AP359" t="str">
            <v>No</v>
          </cell>
        </row>
        <row r="360">
          <cell r="K360">
            <v>1</v>
          </cell>
          <cell r="L360">
            <v>1</v>
          </cell>
          <cell r="M360">
            <v>1</v>
          </cell>
          <cell r="N360">
            <v>1</v>
          </cell>
          <cell r="O360">
            <v>1</v>
          </cell>
          <cell r="P360">
            <v>1</v>
          </cell>
          <cell r="Q360">
            <v>1</v>
          </cell>
          <cell r="R360">
            <v>1</v>
          </cell>
          <cell r="S360">
            <v>1</v>
          </cell>
          <cell r="T360" t="str">
            <v>RTO - Terminated by RTO</v>
          </cell>
          <cell r="AA360" t="str">
            <v>32479</v>
          </cell>
          <cell r="AB360" t="str">
            <v>Site Institute Pty Ltd</v>
          </cell>
          <cell r="AC360" t="str">
            <v>Site Institute Pty Ltd</v>
          </cell>
          <cell r="AD360" t="str">
            <v>74 119 518 017</v>
          </cell>
          <cell r="AE360" t="str">
            <v>Jason Anfield</v>
          </cell>
          <cell r="AF360" t="str">
            <v>Lvl 4, 488 Queen St</v>
          </cell>
          <cell r="AG360" t="str">
            <v>Brisbane</v>
          </cell>
          <cell r="AH360" t="str">
            <v>4000</v>
          </cell>
        </row>
        <row r="361">
          <cell r="K361">
            <v>1</v>
          </cell>
          <cell r="L361">
            <v>1</v>
          </cell>
          <cell r="M361">
            <v>1</v>
          </cell>
          <cell r="N361">
            <v>1</v>
          </cell>
          <cell r="O361">
            <v>1</v>
          </cell>
          <cell r="P361">
            <v>1</v>
          </cell>
          <cell r="Q361">
            <v>1</v>
          </cell>
          <cell r="R361">
            <v>1</v>
          </cell>
          <cell r="S361">
            <v>1</v>
          </cell>
          <cell r="T361" t="str">
            <v>RTO - Current - Application Approved</v>
          </cell>
          <cell r="AA361" t="str">
            <v>45370</v>
          </cell>
          <cell r="AB361" t="str">
            <v>ACTA Group Pty Ltd</v>
          </cell>
          <cell r="AC361" t="str">
            <v>N/A</v>
          </cell>
          <cell r="AD361" t="str">
            <v>78 618 920 317</v>
          </cell>
          <cell r="AE361" t="str">
            <v>Ms Ash Humphries (CEO); Ms Tabitha Parsons (Administration Officer)</v>
          </cell>
          <cell r="AF361" t="str">
            <v>4/19 Central Drive</v>
          </cell>
          <cell r="AG361" t="str">
            <v>Burleigh Heads</v>
          </cell>
          <cell r="AH361" t="str">
            <v>4220</v>
          </cell>
          <cell r="AP361" t="str">
            <v>No</v>
          </cell>
        </row>
        <row r="362">
          <cell r="K362">
            <v>1</v>
          </cell>
          <cell r="L362">
            <v>1</v>
          </cell>
          <cell r="M362">
            <v>1</v>
          </cell>
          <cell r="N362">
            <v>1</v>
          </cell>
          <cell r="O362">
            <v>1</v>
          </cell>
          <cell r="P362">
            <v>1</v>
          </cell>
          <cell r="Q362">
            <v>1</v>
          </cell>
          <cell r="R362">
            <v>1</v>
          </cell>
          <cell r="S362">
            <v>1</v>
          </cell>
          <cell r="T362" t="str">
            <v>RTO - Current - Application Approved</v>
          </cell>
          <cell r="AA362" t="str">
            <v>45132</v>
          </cell>
          <cell r="AB362" t="str">
            <v>Great Training Academy Pty Ltd</v>
          </cell>
          <cell r="AC362" t="str">
            <v>A1 Australian Academy</v>
          </cell>
          <cell r="AD362" t="str">
            <v>28 613 165 852</v>
          </cell>
          <cell r="AE362" t="str">
            <v>Ms Navdeep Kaur (CEO)</v>
          </cell>
          <cell r="AF362" t="str">
            <v>359 Wecker Rd</v>
          </cell>
          <cell r="AG362" t="str">
            <v>Mansfield</v>
          </cell>
          <cell r="AH362" t="str">
            <v>4122</v>
          </cell>
          <cell r="AP362" t="str">
            <v>No</v>
          </cell>
        </row>
        <row r="363">
          <cell r="K363">
            <v>1</v>
          </cell>
          <cell r="L363">
            <v>1</v>
          </cell>
          <cell r="M363">
            <v>1</v>
          </cell>
          <cell r="N363">
            <v>1</v>
          </cell>
          <cell r="O363">
            <v>1</v>
          </cell>
          <cell r="P363">
            <v>1</v>
          </cell>
          <cell r="Q363">
            <v>1</v>
          </cell>
          <cell r="R363">
            <v>1</v>
          </cell>
          <cell r="S363">
            <v>1</v>
          </cell>
          <cell r="T363" t="str">
            <v>RTO - Terminated by RTO</v>
          </cell>
          <cell r="AA363" t="str">
            <v>32041</v>
          </cell>
          <cell r="AB363" t="str">
            <v>Heumillers Enterprises Pty Ltd</v>
          </cell>
          <cell r="AC363" t="str">
            <v>In 4 TRAINING</v>
          </cell>
          <cell r="AD363" t="str">
            <v>84 094 726 851</v>
          </cell>
          <cell r="AE363" t="str">
            <v>peter heumiller</v>
          </cell>
          <cell r="AF363" t="str">
            <v>2 Malibu Place</v>
          </cell>
          <cell r="AG363" t="str">
            <v>Emerald</v>
          </cell>
          <cell r="AH363" t="str">
            <v>4720</v>
          </cell>
        </row>
        <row r="364">
          <cell r="K364">
            <v>1</v>
          </cell>
          <cell r="L364">
            <v>1</v>
          </cell>
          <cell r="M364">
            <v>1</v>
          </cell>
          <cell r="N364">
            <v>1</v>
          </cell>
          <cell r="O364">
            <v>1</v>
          </cell>
          <cell r="P364">
            <v>1</v>
          </cell>
          <cell r="Q364">
            <v>1</v>
          </cell>
          <cell r="R364">
            <v>1</v>
          </cell>
          <cell r="S364">
            <v>1</v>
          </cell>
          <cell r="T364" t="str">
            <v>RTO - Application Withdrawn</v>
          </cell>
          <cell r="AA364" t="str">
            <v>6639</v>
          </cell>
          <cell r="AB364" t="str">
            <v>1 Education training Pty Ltd</v>
          </cell>
          <cell r="AC364" t="str">
            <v>1 Education training Pty Ltd</v>
          </cell>
          <cell r="AD364" t="str">
            <v>71 084 295 170</v>
          </cell>
          <cell r="AE364" t="str">
            <v>.</v>
          </cell>
          <cell r="AF364" t="str">
            <v>99 Kelliher Rd</v>
          </cell>
          <cell r="AG364" t="str">
            <v>Richlands</v>
          </cell>
          <cell r="AH364" t="str">
            <v>4077</v>
          </cell>
        </row>
        <row r="365">
          <cell r="K365">
            <v>1</v>
          </cell>
          <cell r="L365">
            <v>1</v>
          </cell>
          <cell r="M365">
            <v>1</v>
          </cell>
          <cell r="N365">
            <v>1</v>
          </cell>
          <cell r="O365">
            <v>1</v>
          </cell>
          <cell r="P365">
            <v>1</v>
          </cell>
          <cell r="Q365">
            <v>1</v>
          </cell>
          <cell r="R365">
            <v>1</v>
          </cell>
          <cell r="S365">
            <v>1</v>
          </cell>
          <cell r="T365" t="str">
            <v>RTO - Current - Application Approved</v>
          </cell>
          <cell r="AA365" t="str">
            <v>41097</v>
          </cell>
          <cell r="AB365" t="str">
            <v>Ballistic Training Solutions Pty. Ltd.</v>
          </cell>
          <cell r="AC365" t="str">
            <v>Ballistic Training Solutions</v>
          </cell>
          <cell r="AD365" t="str">
            <v>30 156 084 481</v>
          </cell>
          <cell r="AE365" t="str">
            <v>Mr Peter Tremain (CEO); Ms Casey Baggieri (Compliance Manager)</v>
          </cell>
          <cell r="AF365" t="str">
            <v>Unit 7 2-6 Exeter Way</v>
          </cell>
          <cell r="AG365" t="str">
            <v>Caloundra</v>
          </cell>
          <cell r="AH365" t="str">
            <v>4551</v>
          </cell>
          <cell r="AP365" t="str">
            <v>No</v>
          </cell>
        </row>
        <row r="366">
          <cell r="K366">
            <v>1</v>
          </cell>
          <cell r="L366">
            <v>1</v>
          </cell>
          <cell r="M366">
            <v>1</v>
          </cell>
          <cell r="N366">
            <v>1</v>
          </cell>
          <cell r="O366">
            <v>1</v>
          </cell>
          <cell r="P366">
            <v>1</v>
          </cell>
          <cell r="Q366">
            <v>1</v>
          </cell>
          <cell r="R366">
            <v>1</v>
          </cell>
          <cell r="S366">
            <v>1</v>
          </cell>
          <cell r="T366" t="str">
            <v>RTO - Terminated by RTO</v>
          </cell>
          <cell r="AA366" t="str">
            <v>30526</v>
          </cell>
          <cell r="AB366" t="str">
            <v>Trustees of Edmund Rice Education Australia</v>
          </cell>
          <cell r="AC366" t="str">
            <v>St James College</v>
          </cell>
          <cell r="AD366" t="str">
            <v>96 372 268 340</v>
          </cell>
          <cell r="AE366" t="str">
            <v>Mrs Ann Rebgetz (Principal); Mr Anthony Hill (RTO Manager)</v>
          </cell>
          <cell r="AF366" t="str">
            <v>201 Boundary Street</v>
          </cell>
          <cell r="AG366" t="str">
            <v>Brisbane</v>
          </cell>
          <cell r="AH366" t="str">
            <v>4000</v>
          </cell>
          <cell r="AP366" t="str">
            <v>Yes</v>
          </cell>
        </row>
        <row r="367">
          <cell r="K367">
            <v>44418</v>
          </cell>
          <cell r="L367">
            <v>1</v>
          </cell>
          <cell r="M367">
            <v>1</v>
          </cell>
          <cell r="N367">
            <v>1</v>
          </cell>
          <cell r="O367">
            <v>1</v>
          </cell>
          <cell r="P367">
            <v>1</v>
          </cell>
          <cell r="Q367">
            <v>1</v>
          </cell>
          <cell r="R367">
            <v>1</v>
          </cell>
          <cell r="S367">
            <v>1</v>
          </cell>
          <cell r="T367" t="str">
            <v>RTO - Current - Application Approved</v>
          </cell>
          <cell r="AA367" t="str">
            <v>5553</v>
          </cell>
          <cell r="AB367" t="str">
            <v>Karingal St Laurence Limited</v>
          </cell>
          <cell r="AC367" t="str">
            <v>GenU Training</v>
          </cell>
          <cell r="AD367" t="str">
            <v>74 614 366 031</v>
          </cell>
          <cell r="AE367" t="str">
            <v>Ms Clare Amies (CEO); Ms Lisa Abbott (General Manager Education and Training)</v>
          </cell>
          <cell r="AF367" t="str">
            <v>21-29 Reynolds Rd</v>
          </cell>
          <cell r="AG367" t="str">
            <v>Highton, VIC</v>
          </cell>
          <cell r="AH367" t="str">
            <v>3216</v>
          </cell>
        </row>
        <row r="368">
          <cell r="K368">
            <v>1</v>
          </cell>
          <cell r="L368">
            <v>1</v>
          </cell>
          <cell r="M368">
            <v>1</v>
          </cell>
          <cell r="N368">
            <v>1</v>
          </cell>
          <cell r="O368">
            <v>1</v>
          </cell>
          <cell r="P368">
            <v>1</v>
          </cell>
          <cell r="Q368">
            <v>1</v>
          </cell>
          <cell r="R368">
            <v>1</v>
          </cell>
          <cell r="S368">
            <v>1</v>
          </cell>
          <cell r="T368" t="str">
            <v>RTO - Terminated by RTO</v>
          </cell>
          <cell r="AA368" t="str">
            <v>45398</v>
          </cell>
          <cell r="AB368" t="str">
            <v>DBW Krause Investments Pty Ltd</v>
          </cell>
          <cell r="AC368" t="str">
            <v>Krause Health &amp; Safety</v>
          </cell>
          <cell r="AD368" t="str">
            <v>61 614 959 514</v>
          </cell>
          <cell r="AE368" t="str">
            <v>Mr Wade Krause (CEO)</v>
          </cell>
          <cell r="AF368" t="str">
            <v>3-5 Commercial Rd</v>
          </cell>
          <cell r="AG368" t="str">
            <v>Ryan</v>
          </cell>
          <cell r="AH368" t="str">
            <v>4825</v>
          </cell>
          <cell r="AP368" t="str">
            <v>No</v>
          </cell>
        </row>
        <row r="369">
          <cell r="K369">
            <v>44144</v>
          </cell>
          <cell r="L369">
            <v>1</v>
          </cell>
          <cell r="M369">
            <v>44203</v>
          </cell>
          <cell r="N369">
            <v>1</v>
          </cell>
          <cell r="O369">
            <v>1</v>
          </cell>
          <cell r="P369">
            <v>1</v>
          </cell>
          <cell r="Q369">
            <v>1</v>
          </cell>
          <cell r="R369">
            <v>1</v>
          </cell>
          <cell r="S369">
            <v>1</v>
          </cell>
          <cell r="T369" t="str">
            <v>RTO - Terminated by RTO</v>
          </cell>
          <cell r="AA369" t="str">
            <v>45399</v>
          </cell>
          <cell r="AB369" t="str">
            <v>Cooper Cole Pty Ltd</v>
          </cell>
          <cell r="AC369" t="str">
            <v>Simpatico Safety Training and Consultancy</v>
          </cell>
          <cell r="AD369" t="str">
            <v>54 622 440 831</v>
          </cell>
          <cell r="AE369" t="str">
            <v>Mrs Joanne Cole (CEO)</v>
          </cell>
          <cell r="AF369" t="str">
            <v>Units 34-35 20 Masthead Drive</v>
          </cell>
          <cell r="AG369" t="str">
            <v>Cleveland</v>
          </cell>
          <cell r="AH369" t="str">
            <v>4163</v>
          </cell>
          <cell r="AP369" t="str">
            <v>No</v>
          </cell>
        </row>
        <row r="370">
          <cell r="K370">
            <v>1</v>
          </cell>
          <cell r="L370">
            <v>1</v>
          </cell>
          <cell r="M370">
            <v>1</v>
          </cell>
          <cell r="N370">
            <v>1</v>
          </cell>
          <cell r="O370">
            <v>1</v>
          </cell>
          <cell r="P370">
            <v>1</v>
          </cell>
          <cell r="Q370">
            <v>1</v>
          </cell>
          <cell r="R370">
            <v>1</v>
          </cell>
          <cell r="S370">
            <v>1</v>
          </cell>
          <cell r="T370" t="str">
            <v>RTO - Current - Application Approved</v>
          </cell>
          <cell r="AA370" t="str">
            <v>40907</v>
          </cell>
          <cell r="AB370" t="str">
            <v>Health Security &amp; Education Pty Ltd as trustee for Health Security &amp; Education Unit Trust</v>
          </cell>
          <cell r="AC370" t="str">
            <v>N/A</v>
          </cell>
          <cell r="AD370" t="str">
            <v>22 163 738 583</v>
          </cell>
          <cell r="AE370" t="str">
            <v>Mr Glen Van Emmerik (CEO); Ms Eeva Hunt (Administration)</v>
          </cell>
          <cell r="AF370" t="str">
            <v>110 Drager East Road</v>
          </cell>
          <cell r="AG370" t="str">
            <v>Coleyville</v>
          </cell>
          <cell r="AH370" t="str">
            <v>4307</v>
          </cell>
          <cell r="AP370" t="str">
            <v>No</v>
          </cell>
        </row>
        <row r="371">
          <cell r="K371">
            <v>1</v>
          </cell>
          <cell r="L371">
            <v>1</v>
          </cell>
          <cell r="M371">
            <v>1</v>
          </cell>
          <cell r="N371">
            <v>1</v>
          </cell>
          <cell r="O371">
            <v>1</v>
          </cell>
          <cell r="P371">
            <v>1</v>
          </cell>
          <cell r="Q371">
            <v>1</v>
          </cell>
          <cell r="R371">
            <v>1</v>
          </cell>
          <cell r="S371">
            <v>1</v>
          </cell>
          <cell r="T371" t="str">
            <v>RTO - Current - Application Approved</v>
          </cell>
          <cell r="AA371" t="str">
            <v>45028</v>
          </cell>
          <cell r="AB371" t="str">
            <v>Gold Coast International College Pty. Ltd.</v>
          </cell>
          <cell r="AC371" t="str">
            <v>Gold Coast International College</v>
          </cell>
          <cell r="AD371" t="str">
            <v>33 612 255 802</v>
          </cell>
          <cell r="AE371" t="str">
            <v>Ms Fiona Parrish (CEO); Mr Amir Khawaja (CEO)</v>
          </cell>
          <cell r="AF371" t="str">
            <v>1A, 54 Paradise Ave</v>
          </cell>
          <cell r="AG371" t="str">
            <v>Miami</v>
          </cell>
          <cell r="AH371" t="str">
            <v>4220</v>
          </cell>
          <cell r="AP371" t="str">
            <v>No</v>
          </cell>
        </row>
        <row r="372">
          <cell r="K372">
            <v>44257</v>
          </cell>
          <cell r="L372">
            <v>44335</v>
          </cell>
          <cell r="M372">
            <v>1</v>
          </cell>
          <cell r="N372">
            <v>1</v>
          </cell>
          <cell r="O372">
            <v>44350</v>
          </cell>
          <cell r="P372">
            <v>1</v>
          </cell>
          <cell r="Q372">
            <v>1</v>
          </cell>
          <cell r="R372">
            <v>1</v>
          </cell>
          <cell r="S372">
            <v>1</v>
          </cell>
          <cell r="T372" t="str">
            <v>RTO - Current - Application Approved</v>
          </cell>
          <cell r="AA372" t="str">
            <v>45546</v>
          </cell>
          <cell r="AB372" t="str">
            <v>Positive Training Academy Pty Ltd</v>
          </cell>
          <cell r="AC372" t="str">
            <v xml:space="preserve">  N/A</v>
          </cell>
          <cell r="AD372" t="str">
            <v>47 626 942 498</v>
          </cell>
          <cell r="AE372" t="str">
            <v>Mr Harry Ragavanis (Director)</v>
          </cell>
          <cell r="AF372" t="str">
            <v>Unit 13 326 Settlement Rd</v>
          </cell>
          <cell r="AG372" t="str">
            <v>Thomastown</v>
          </cell>
          <cell r="AH372" t="str">
            <v>3074</v>
          </cell>
          <cell r="AP372" t="str">
            <v>No</v>
          </cell>
        </row>
        <row r="373">
          <cell r="K373">
            <v>1</v>
          </cell>
          <cell r="L373">
            <v>1</v>
          </cell>
          <cell r="M373">
            <v>1</v>
          </cell>
          <cell r="N373">
            <v>1</v>
          </cell>
          <cell r="O373">
            <v>1</v>
          </cell>
          <cell r="P373">
            <v>1</v>
          </cell>
          <cell r="Q373">
            <v>1</v>
          </cell>
          <cell r="R373">
            <v>1</v>
          </cell>
          <cell r="S373">
            <v>1</v>
          </cell>
          <cell r="T373" t="str">
            <v>RTO - Current - Application Approved</v>
          </cell>
          <cell r="AA373" t="str">
            <v>45656</v>
          </cell>
          <cell r="AB373" t="str">
            <v>VET Training Pty Ltd</v>
          </cell>
          <cell r="AC373" t="str">
            <v>Gladstone Training Services</v>
          </cell>
          <cell r="AD373" t="str">
            <v>98 640 096 279</v>
          </cell>
          <cell r="AE373" t="str">
            <v>Mr Garrat Douglass (CEO); Ms Jeanette Wurth (Manager)</v>
          </cell>
          <cell r="AF373" t="str">
            <v>1 Manning St</v>
          </cell>
          <cell r="AG373" t="str">
            <v>South Gladstone</v>
          </cell>
          <cell r="AH373" t="str">
            <v>4680</v>
          </cell>
          <cell r="AP373" t="str">
            <v>No</v>
          </cell>
        </row>
        <row r="374">
          <cell r="K374">
            <v>1</v>
          </cell>
          <cell r="L374">
            <v>1</v>
          </cell>
          <cell r="M374">
            <v>1</v>
          </cell>
          <cell r="N374">
            <v>1</v>
          </cell>
          <cell r="O374">
            <v>1</v>
          </cell>
          <cell r="P374">
            <v>1</v>
          </cell>
          <cell r="Q374">
            <v>1</v>
          </cell>
          <cell r="R374">
            <v>1</v>
          </cell>
          <cell r="S374">
            <v>1</v>
          </cell>
          <cell r="T374" t="str">
            <v>RTO - Application Received</v>
          </cell>
          <cell r="AA374" t="str">
            <v>41353</v>
          </cell>
          <cell r="AB374" t="str">
            <v>Mackay Northern Beaches State High School</v>
          </cell>
          <cell r="AC374" t="str">
            <v>Mackay Northern Beaches State High School</v>
          </cell>
          <cell r="AD374" t="str">
            <v>96 904 257 305</v>
          </cell>
          <cell r="AE374" t="str">
            <v>Mrs. Sain Burrows</v>
          </cell>
          <cell r="AF374" t="str">
            <v>Rosewood Dr</v>
          </cell>
          <cell r="AG374" t="str">
            <v>Rural View</v>
          </cell>
          <cell r="AH374" t="str">
            <v>4740</v>
          </cell>
        </row>
        <row r="375">
          <cell r="K375">
            <v>1</v>
          </cell>
          <cell r="L375">
            <v>1</v>
          </cell>
          <cell r="M375">
            <v>1</v>
          </cell>
          <cell r="N375">
            <v>1</v>
          </cell>
          <cell r="O375">
            <v>1</v>
          </cell>
          <cell r="P375">
            <v>1</v>
          </cell>
          <cell r="Q375">
            <v>1</v>
          </cell>
          <cell r="R375">
            <v>1</v>
          </cell>
          <cell r="S375">
            <v>1</v>
          </cell>
          <cell r="T375" t="str">
            <v>RTO - Current - Application Approved</v>
          </cell>
          <cell r="AA375" t="str">
            <v>32238</v>
          </cell>
          <cell r="AB375" t="str">
            <v>Queensland Training and Development Pty Ltd</v>
          </cell>
          <cell r="AC375" t="str">
            <v>N/A</v>
          </cell>
          <cell r="AD375" t="str">
            <v>39 119 117 725</v>
          </cell>
          <cell r="AE375" t="str">
            <v>Ms Deborah O'Shea (CEO); Ms Kellie Tait (Manager)</v>
          </cell>
          <cell r="AF375" t="str">
            <v>Shop 6/ 839 Mackay Bucasia Rd</v>
          </cell>
          <cell r="AG375" t="str">
            <v xml:space="preserve"> Bucasia</v>
          </cell>
          <cell r="AH375" t="str">
            <v>4750</v>
          </cell>
          <cell r="AP375" t="str">
            <v>No</v>
          </cell>
        </row>
        <row r="376">
          <cell r="K376">
            <v>1</v>
          </cell>
          <cell r="L376">
            <v>1</v>
          </cell>
          <cell r="M376">
            <v>1</v>
          </cell>
          <cell r="N376">
            <v>1</v>
          </cell>
          <cell r="O376">
            <v>1</v>
          </cell>
          <cell r="P376">
            <v>1</v>
          </cell>
          <cell r="Q376">
            <v>1</v>
          </cell>
          <cell r="R376">
            <v>1</v>
          </cell>
          <cell r="S376">
            <v>1</v>
          </cell>
          <cell r="T376" t="str">
            <v>RTO - Current - Application Approved</v>
          </cell>
          <cell r="AA376" t="str">
            <v>22508</v>
          </cell>
          <cell r="AB376" t="str">
            <v>Australian Pilot Training Alliance Pty Ltd</v>
          </cell>
          <cell r="AC376" t="str">
            <v>Australian Training Academy</v>
          </cell>
          <cell r="AD376" t="str">
            <v>90 119 046 285</v>
          </cell>
          <cell r="AE376" t="str">
            <v>Mr Lawrence Matthews</v>
          </cell>
          <cell r="AF376" t="str">
            <v>2 Third Street</v>
          </cell>
          <cell r="AG376" t="str">
            <v>MOORABBIN AIRPORT</v>
          </cell>
          <cell r="AH376" t="str">
            <v>3194</v>
          </cell>
          <cell r="AP376" t="str">
            <v>No</v>
          </cell>
        </row>
        <row r="377">
          <cell r="K377">
            <v>1</v>
          </cell>
          <cell r="L377">
            <v>1</v>
          </cell>
          <cell r="M377">
            <v>1</v>
          </cell>
          <cell r="N377">
            <v>1</v>
          </cell>
          <cell r="O377">
            <v>1</v>
          </cell>
          <cell r="P377">
            <v>1</v>
          </cell>
          <cell r="Q377">
            <v>1</v>
          </cell>
          <cell r="R377">
            <v>1</v>
          </cell>
          <cell r="S377">
            <v>1</v>
          </cell>
          <cell r="T377" t="str">
            <v>RTO - Current - Application Approved</v>
          </cell>
          <cell r="AA377" t="str">
            <v>40521</v>
          </cell>
          <cell r="AB377" t="str">
            <v>Harness Energy Services Pty Ltd</v>
          </cell>
          <cell r="AC377" t="str">
            <v>N/A</v>
          </cell>
          <cell r="AD377" t="str">
            <v>15 118 432 741</v>
          </cell>
          <cell r="AE377" t="str">
            <v>Mrs Deanne O'Reilly (Chief Executive Officer - CEO); Mr Patrick Ciril Roman Amrein (Compliance Manager)</v>
          </cell>
          <cell r="AF377" t="str">
            <v>1/45 Alexandra Place</v>
          </cell>
          <cell r="AG377" t="str">
            <v>Murarrie</v>
          </cell>
          <cell r="AH377" t="str">
            <v>4172</v>
          </cell>
          <cell r="AP377" t="str">
            <v>No</v>
          </cell>
        </row>
        <row r="378">
          <cell r="K378">
            <v>1</v>
          </cell>
          <cell r="L378">
            <v>1</v>
          </cell>
          <cell r="M378">
            <v>1</v>
          </cell>
          <cell r="N378">
            <v>1</v>
          </cell>
          <cell r="O378">
            <v>1</v>
          </cell>
          <cell r="P378">
            <v>1</v>
          </cell>
          <cell r="Q378">
            <v>1</v>
          </cell>
          <cell r="R378">
            <v>1</v>
          </cell>
          <cell r="S378">
            <v>1</v>
          </cell>
          <cell r="T378" t="str">
            <v>RTO - Current - Application Approved</v>
          </cell>
          <cell r="AA378" t="str">
            <v>45550</v>
          </cell>
          <cell r="AB378" t="str">
            <v>Maryborough Christian Education Foundation Ltd</v>
          </cell>
          <cell r="AC378" t="str">
            <v>Riverside Christian College</v>
          </cell>
          <cell r="AD378" t="str">
            <v>39 069 844 211</v>
          </cell>
          <cell r="AE378" t="str">
            <v>Ms Michelle Gouge (CEO); Ms Rhonda Scullen (RTO Manager)</v>
          </cell>
          <cell r="AF378" t="str">
            <v>23 - 29 Royle Street</v>
          </cell>
          <cell r="AG378" t="str">
            <v>Maryborough</v>
          </cell>
          <cell r="AH378" t="str">
            <v>4650</v>
          </cell>
          <cell r="AP378" t="str">
            <v>Yes</v>
          </cell>
        </row>
        <row r="379">
          <cell r="K379">
            <v>1</v>
          </cell>
          <cell r="L379">
            <v>1</v>
          </cell>
          <cell r="M379">
            <v>1</v>
          </cell>
          <cell r="N379">
            <v>1</v>
          </cell>
          <cell r="O379">
            <v>1</v>
          </cell>
          <cell r="P379">
            <v>1</v>
          </cell>
          <cell r="Q379">
            <v>1</v>
          </cell>
          <cell r="R379">
            <v>1</v>
          </cell>
          <cell r="S379">
            <v>1</v>
          </cell>
          <cell r="T379" t="str">
            <v>RTO - Terminated by RTO</v>
          </cell>
          <cell r="AA379" t="str">
            <v>31843</v>
          </cell>
          <cell r="AB379" t="str">
            <v>Broadspectrum Training Services</v>
          </cell>
          <cell r="AC379" t="str">
            <v>N/A</v>
          </cell>
          <cell r="AD379" t="str">
            <v>29 133 064 249</v>
          </cell>
          <cell r="AE379" t="str">
            <v>Michelle Fowler</v>
          </cell>
          <cell r="AF379" t="str">
            <v>24 Roches Rd</v>
          </cell>
          <cell r="AG379" t="str">
            <v>Withcott</v>
          </cell>
          <cell r="AH379" t="str">
            <v>4352</v>
          </cell>
        </row>
        <row r="380">
          <cell r="K380">
            <v>1</v>
          </cell>
          <cell r="L380">
            <v>1</v>
          </cell>
          <cell r="M380">
            <v>1</v>
          </cell>
          <cell r="N380">
            <v>1</v>
          </cell>
          <cell r="O380">
            <v>1</v>
          </cell>
          <cell r="P380">
            <v>1</v>
          </cell>
          <cell r="Q380">
            <v>1</v>
          </cell>
          <cell r="R380">
            <v>1</v>
          </cell>
          <cell r="S380">
            <v>1</v>
          </cell>
          <cell r="T380" t="str">
            <v>RTO - Current - Application Approved</v>
          </cell>
          <cell r="AA380" t="str">
            <v>41488</v>
          </cell>
          <cell r="AB380" t="str">
            <v>CAB12 Pty Ltd</v>
          </cell>
          <cell r="AC380" t="str">
            <v>Noble Training Group</v>
          </cell>
          <cell r="AD380" t="str">
            <v>28 161 044 453</v>
          </cell>
          <cell r="AE380" t="str">
            <v>Mr Paul Simmons (CEO); Ms Dewi Fitryany (Administration Assistant)</v>
          </cell>
          <cell r="AF380" t="str">
            <v>Unit 13 5-7 Claude Boyd Pde</v>
          </cell>
          <cell r="AG380" t="str">
            <v>Corbould Park</v>
          </cell>
          <cell r="AH380" t="str">
            <v>4551</v>
          </cell>
          <cell r="AP380" t="str">
            <v>No</v>
          </cell>
        </row>
        <row r="381">
          <cell r="K381">
            <v>1</v>
          </cell>
          <cell r="L381">
            <v>1</v>
          </cell>
          <cell r="M381">
            <v>1</v>
          </cell>
          <cell r="N381">
            <v>1</v>
          </cell>
          <cell r="O381">
            <v>1</v>
          </cell>
          <cell r="P381">
            <v>1</v>
          </cell>
          <cell r="Q381">
            <v>1</v>
          </cell>
          <cell r="R381">
            <v>1</v>
          </cell>
          <cell r="S381">
            <v>1</v>
          </cell>
          <cell r="T381" t="str">
            <v>RTO - Current - Application Approved</v>
          </cell>
          <cell r="AA381" t="str">
            <v>45256</v>
          </cell>
          <cell r="AB381" t="str">
            <v>Advanced-Forward Pty Ltd</v>
          </cell>
          <cell r="AC381" t="str">
            <v>Advance-Forward RTO</v>
          </cell>
          <cell r="AD381" t="str">
            <v>91 614 666 250</v>
          </cell>
          <cell r="AE381" t="str">
            <v>Mr Scott Percival (Director); Ms Allison Devlin (Administration)</v>
          </cell>
          <cell r="AF381" t="str">
            <v>Suite 8 3374 Pacific Hwy</v>
          </cell>
          <cell r="AG381" t="str">
            <v>Springwood</v>
          </cell>
          <cell r="AH381" t="str">
            <v>4127</v>
          </cell>
          <cell r="AP381" t="str">
            <v>No</v>
          </cell>
        </row>
        <row r="382"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 t="str">
            <v>RTO - Current - Application Approved</v>
          </cell>
          <cell r="AA382" t="str">
            <v>40840</v>
          </cell>
          <cell r="AB382" t="str">
            <v>Abrahamson Holdings Pty Ltd as Trustee for the Abrahamson Family Trust</v>
          </cell>
          <cell r="AC382" t="str">
            <v>Upskills QLD</v>
          </cell>
          <cell r="AD382" t="str">
            <v>38 660 408 062</v>
          </cell>
          <cell r="AE382" t="str">
            <v>Mr Brian Abrahamson (Director)</v>
          </cell>
          <cell r="AF382" t="str">
            <v>2/180 Anzac Avenue</v>
          </cell>
          <cell r="AG382" t="str">
            <v>Kippa Ring</v>
          </cell>
          <cell r="AH382" t="str">
            <v>4021</v>
          </cell>
          <cell r="AP382" t="str">
            <v>No</v>
          </cell>
        </row>
        <row r="383">
          <cell r="K383">
            <v>1</v>
          </cell>
          <cell r="L383">
            <v>1</v>
          </cell>
          <cell r="M383">
            <v>1</v>
          </cell>
          <cell r="N383">
            <v>1</v>
          </cell>
          <cell r="O383">
            <v>1</v>
          </cell>
          <cell r="P383">
            <v>1</v>
          </cell>
          <cell r="Q383">
            <v>1</v>
          </cell>
          <cell r="R383">
            <v>1</v>
          </cell>
          <cell r="S383">
            <v>1</v>
          </cell>
          <cell r="T383" t="str">
            <v>RTO - Current - Application Approved</v>
          </cell>
          <cell r="AA383" t="str">
            <v>41315</v>
          </cell>
          <cell r="AB383" t="str">
            <v>Orange International College Pty Ltd</v>
          </cell>
          <cell r="AC383" t="str">
            <v>Orange International College</v>
          </cell>
          <cell r="AD383" t="str">
            <v>15 167 063 596</v>
          </cell>
          <cell r="AE383" t="str">
            <v>Mr Aman Chawla (CEO)</v>
          </cell>
          <cell r="AF383" t="str">
            <v>Lvl 6, 416- 420 Collin St</v>
          </cell>
          <cell r="AG383" t="str">
            <v>Melbourne</v>
          </cell>
          <cell r="AH383" t="str">
            <v>3000</v>
          </cell>
          <cell r="AP383" t="str">
            <v>No</v>
          </cell>
        </row>
        <row r="384">
          <cell r="K384">
            <v>1</v>
          </cell>
          <cell r="L384">
            <v>1</v>
          </cell>
          <cell r="M384">
            <v>1</v>
          </cell>
          <cell r="N384">
            <v>1</v>
          </cell>
          <cell r="O384">
            <v>1</v>
          </cell>
          <cell r="P384">
            <v>1</v>
          </cell>
          <cell r="Q384">
            <v>1</v>
          </cell>
          <cell r="R384">
            <v>1</v>
          </cell>
          <cell r="S384">
            <v>1</v>
          </cell>
          <cell r="T384" t="str">
            <v>RTO - Current - Application Approved</v>
          </cell>
          <cell r="AA384" t="str">
            <v>30314</v>
          </cell>
          <cell r="AB384" t="str">
            <v>James Nash State High School</v>
          </cell>
          <cell r="AC384" t="str">
            <v>James Nash State High School</v>
          </cell>
          <cell r="AD384" t="str">
            <v>84 190 394 644</v>
          </cell>
          <cell r="AE384" t="str">
            <v>Mr Jackson Dodd (CEO); Ms Jo- Anne Laing (RTO Manager)</v>
          </cell>
          <cell r="AF384" t="str">
            <v>109 Myall Street</v>
          </cell>
          <cell r="AG384" t="str">
            <v>Gympie</v>
          </cell>
          <cell r="AH384" t="str">
            <v>4570</v>
          </cell>
          <cell r="AP384" t="str">
            <v>Yes</v>
          </cell>
        </row>
        <row r="385">
          <cell r="K385">
            <v>1</v>
          </cell>
          <cell r="L385">
            <v>1</v>
          </cell>
          <cell r="M385">
            <v>1</v>
          </cell>
          <cell r="N385">
            <v>1</v>
          </cell>
          <cell r="O385">
            <v>1</v>
          </cell>
          <cell r="P385">
            <v>1</v>
          </cell>
          <cell r="Q385">
            <v>1</v>
          </cell>
          <cell r="R385">
            <v>1</v>
          </cell>
          <cell r="S385">
            <v>1</v>
          </cell>
          <cell r="T385" t="str">
            <v>RTO - Application Refused</v>
          </cell>
          <cell r="AA385" t="str">
            <v>30226</v>
          </cell>
          <cell r="AB385" t="str">
            <v>Beaudesert State High School</v>
          </cell>
          <cell r="AC385" t="str">
            <v>N/A</v>
          </cell>
          <cell r="AD385" t="str">
            <v>34 885 527 532</v>
          </cell>
          <cell r="AE385" t="str">
            <v>Mrs Linda Cathleen Southerden (Principal)</v>
          </cell>
          <cell r="AF385" t="str">
            <v>241-297 Brisbane St</v>
          </cell>
          <cell r="AG385" t="str">
            <v>Beaudesert</v>
          </cell>
          <cell r="AH385" t="str">
            <v>4285</v>
          </cell>
        </row>
        <row r="386">
          <cell r="K386">
            <v>44415</v>
          </cell>
          <cell r="L386">
            <v>1</v>
          </cell>
          <cell r="M386">
            <v>1</v>
          </cell>
          <cell r="N386">
            <v>44517</v>
          </cell>
          <cell r="O386">
            <v>1</v>
          </cell>
          <cell r="P386">
            <v>1</v>
          </cell>
          <cell r="Q386">
            <v>1</v>
          </cell>
          <cell r="R386">
            <v>1</v>
          </cell>
          <cell r="S386">
            <v>1</v>
          </cell>
          <cell r="T386" t="str">
            <v>RTO - Current - Application Approved</v>
          </cell>
          <cell r="AA386" t="str">
            <v>45144</v>
          </cell>
          <cell r="AB386" t="str">
            <v>Talented Training Pty Ltd</v>
          </cell>
          <cell r="AC386" t="str">
            <v>N/A</v>
          </cell>
          <cell r="AD386" t="str">
            <v>80 609 214 959</v>
          </cell>
          <cell r="AE386" t="str">
            <v>Mr Joshua Fisk (CEO); Mr Chris Jones (Manager)</v>
          </cell>
          <cell r="AF386" t="str">
            <v>Unit 1 43 Station Ave</v>
          </cell>
          <cell r="AG386" t="str">
            <v>Darra</v>
          </cell>
          <cell r="AH386" t="str">
            <v>4076</v>
          </cell>
          <cell r="AP386" t="str">
            <v>No</v>
          </cell>
        </row>
        <row r="387"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 t="str">
            <v>RTO - Terminated by RTO</v>
          </cell>
          <cell r="AA387" t="str">
            <v>31299</v>
          </cell>
          <cell r="AB387" t="str">
            <v>Competency Training Pty Ltd</v>
          </cell>
          <cell r="AC387" t="str">
            <v>Site Skills Training</v>
          </cell>
          <cell r="AD387" t="str">
            <v>32 113 051 139</v>
          </cell>
          <cell r="AE387" t="str">
            <v>Mr. Mark Read (CEO); Ms Marissa Nightingale</v>
          </cell>
          <cell r="AF387" t="str">
            <v>Level 14 200 Mary Street</v>
          </cell>
          <cell r="AG387" t="str">
            <v>Brisbane City</v>
          </cell>
          <cell r="AH387" t="str">
            <v>4000</v>
          </cell>
          <cell r="AP387" t="str">
            <v>No</v>
          </cell>
        </row>
        <row r="388">
          <cell r="K388">
            <v>1</v>
          </cell>
          <cell r="L388">
            <v>1</v>
          </cell>
          <cell r="M388">
            <v>1</v>
          </cell>
          <cell r="N388">
            <v>1</v>
          </cell>
          <cell r="O388">
            <v>1</v>
          </cell>
          <cell r="P388">
            <v>1</v>
          </cell>
          <cell r="Q388">
            <v>1</v>
          </cell>
          <cell r="R388">
            <v>1</v>
          </cell>
          <cell r="S388">
            <v>1</v>
          </cell>
          <cell r="T388" t="str">
            <v>RTO - Application in Review</v>
          </cell>
          <cell r="AA388" t="str">
            <v>45237</v>
          </cell>
          <cell r="AB388" t="str">
            <v>Fresh Start Education Pty Ltd</v>
          </cell>
          <cell r="AC388" t="str">
            <v>N/A</v>
          </cell>
          <cell r="AD388" t="str">
            <v>16 617 499 331</v>
          </cell>
          <cell r="AE388" t="str">
            <v>Ms Tammy Foat</v>
          </cell>
          <cell r="AF388" t="str">
            <v>15 Montague Street</v>
          </cell>
          <cell r="AG388" t="str">
            <v>Stones Corner</v>
          </cell>
          <cell r="AH388" t="str">
            <v>4120</v>
          </cell>
        </row>
        <row r="389">
          <cell r="K389">
            <v>1</v>
          </cell>
          <cell r="L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 t="str">
            <v>RTO - Current - Application Approved</v>
          </cell>
          <cell r="AA389" t="str">
            <v>41492</v>
          </cell>
          <cell r="AB389" t="str">
            <v>Camden College Pty Ltd</v>
          </cell>
          <cell r="AC389" t="str">
            <v>Camden College</v>
          </cell>
          <cell r="AD389" t="str">
            <v>32 603 489 685</v>
          </cell>
          <cell r="AE389" t="str">
            <v>Mr Kuldeep Dudwal (CEO)</v>
          </cell>
          <cell r="AF389" t="str">
            <v>11 Darnick Street</v>
          </cell>
          <cell r="AG389" t="str">
            <v>Underwood</v>
          </cell>
          <cell r="AH389" t="str">
            <v>4119</v>
          </cell>
          <cell r="AP389" t="str">
            <v>No</v>
          </cell>
        </row>
        <row r="390">
          <cell r="K390">
            <v>1</v>
          </cell>
          <cell r="L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R390">
            <v>1</v>
          </cell>
          <cell r="S390">
            <v>1</v>
          </cell>
          <cell r="T390" t="str">
            <v>RTO - Current - Application Approved</v>
          </cell>
          <cell r="AA390" t="str">
            <v>45671</v>
          </cell>
          <cell r="AB390" t="str">
            <v>Crew Training Pty Ltd</v>
          </cell>
          <cell r="AC390" t="str">
            <v>Accreditation And Training Services</v>
          </cell>
          <cell r="AD390" t="str">
            <v>18 644 576 009</v>
          </cell>
          <cell r="AE390" t="str">
            <v>Ruan Brown (CEO); Daniel Hoffman (Operations Manager); Carmel Guy (Compliance Manager)</v>
          </cell>
          <cell r="AF390" t="str">
            <v>25 Eastwood St</v>
          </cell>
          <cell r="AG390" t="str">
            <v>Babinda</v>
          </cell>
          <cell r="AH390" t="str">
            <v>4861</v>
          </cell>
          <cell r="AP390" t="str">
            <v>No</v>
          </cell>
        </row>
        <row r="391"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 t="str">
            <v>RTO - Application Withdrawn</v>
          </cell>
          <cell r="AA391" t="str">
            <v>45055</v>
          </cell>
          <cell r="AB391" t="str">
            <v>TEC Skill Pty Ltd</v>
          </cell>
          <cell r="AC391" t="str">
            <v>techskill.io academy/ Techskill Academy</v>
          </cell>
          <cell r="AE391" t="str">
            <v>Jacob Stevenson-Shaw</v>
          </cell>
          <cell r="AF391" t="str">
            <v>42 Honeyeater Dr</v>
          </cell>
          <cell r="AG391" t="str">
            <v>Burleigh Waters</v>
          </cell>
          <cell r="AH391" t="str">
            <v>4220</v>
          </cell>
        </row>
        <row r="392">
          <cell r="K392">
            <v>1</v>
          </cell>
          <cell r="L392">
            <v>1</v>
          </cell>
          <cell r="M392">
            <v>1</v>
          </cell>
          <cell r="N392">
            <v>1</v>
          </cell>
          <cell r="O392">
            <v>1</v>
          </cell>
          <cell r="P392">
            <v>1</v>
          </cell>
          <cell r="Q392">
            <v>1</v>
          </cell>
          <cell r="R392">
            <v>1</v>
          </cell>
          <cell r="S392">
            <v>1</v>
          </cell>
          <cell r="T392" t="str">
            <v>RTO - Current - Application Approved</v>
          </cell>
          <cell r="AA392" t="str">
            <v>30048</v>
          </cell>
          <cell r="AB392" t="str">
            <v>Master Painters Decorators &amp; Signwriters' Association of Queensland Union of Employers</v>
          </cell>
          <cell r="AC392" t="str">
            <v>National Institute of Construction Skills</v>
          </cell>
          <cell r="AD392" t="str">
            <v>51 069 579 329</v>
          </cell>
          <cell r="AE392" t="str">
            <v>Mr Christopher Munday (President); Mr Todd Aitken (General Manager)</v>
          </cell>
          <cell r="AF392" t="str">
            <v>460-492 Beaudesert Rd</v>
          </cell>
          <cell r="AG392" t="str">
            <v>Salisbury</v>
          </cell>
          <cell r="AH392" t="str">
            <v>4107</v>
          </cell>
          <cell r="AP392" t="str">
            <v>No</v>
          </cell>
        </row>
        <row r="393">
          <cell r="T393" t="str">
            <v>RTO - Application in Review</v>
          </cell>
          <cell r="AA393" t="str">
            <v>31600</v>
          </cell>
          <cell r="AB393" t="str">
            <v>Plumpton Training Services Pty Ltd</v>
          </cell>
          <cell r="AC393" t="str">
            <v>N/A</v>
          </cell>
          <cell r="AD393" t="str">
            <v>97 011 029 986</v>
          </cell>
          <cell r="AE393" t="str">
            <v>Mr Robert Henry Plumpton</v>
          </cell>
          <cell r="AF393" t="str">
            <v>Office 1B 216 Harbour Rd</v>
          </cell>
          <cell r="AG393" t="str">
            <v>MACKAY</v>
          </cell>
          <cell r="AH393" t="str">
            <v>4740</v>
          </cell>
        </row>
        <row r="394">
          <cell r="K394">
            <v>1</v>
          </cell>
          <cell r="L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R394">
            <v>1</v>
          </cell>
          <cell r="S394">
            <v>1</v>
          </cell>
          <cell r="T394" t="str">
            <v>RTO - Application Withdrawn</v>
          </cell>
          <cell r="AA394" t="str">
            <v>41246</v>
          </cell>
          <cell r="AB394" t="str">
            <v>HCR HOMES PTY LTD</v>
          </cell>
          <cell r="AC394" t="str">
            <v>Best Option Training</v>
          </cell>
          <cell r="AD394" t="str">
            <v>38 604 026 208</v>
          </cell>
          <cell r="AE394" t="str">
            <v>Lucky Tran Tang</v>
          </cell>
          <cell r="AF394" t="str">
            <v>33B Christina Rd</v>
          </cell>
          <cell r="AG394" t="str">
            <v>VILLAWOOD</v>
          </cell>
          <cell r="AH394" t="str">
            <v>2163</v>
          </cell>
        </row>
        <row r="395">
          <cell r="K395">
            <v>1</v>
          </cell>
          <cell r="L395">
            <v>1</v>
          </cell>
          <cell r="M395">
            <v>1</v>
          </cell>
          <cell r="N395">
            <v>1</v>
          </cell>
          <cell r="O395">
            <v>1</v>
          </cell>
          <cell r="P395">
            <v>1</v>
          </cell>
          <cell r="Q395">
            <v>1</v>
          </cell>
          <cell r="R395">
            <v>1</v>
          </cell>
          <cell r="S395">
            <v>1</v>
          </cell>
          <cell r="T395" t="str">
            <v>RTO - Application Withdrawn</v>
          </cell>
          <cell r="AA395" t="str">
            <v>91655</v>
          </cell>
          <cell r="AB395" t="str">
            <v>Training Services 4 You Pty Ltd </v>
          </cell>
          <cell r="AC395" t="str">
            <v>N/A</v>
          </cell>
          <cell r="AD395" t="str">
            <v>28 136 356 922</v>
          </cell>
          <cell r="AE395" t="str">
            <v>Mr Glen Till</v>
          </cell>
          <cell r="AF395" t="str">
            <v>Suite 7/327-329 Woodpark Road</v>
          </cell>
          <cell r="AG395" t="str">
            <v>Smithfield</v>
          </cell>
          <cell r="AH395" t="str">
            <v>2164</v>
          </cell>
        </row>
        <row r="396">
          <cell r="K396">
            <v>1</v>
          </cell>
          <cell r="L396">
            <v>1</v>
          </cell>
          <cell r="M396">
            <v>1</v>
          </cell>
          <cell r="N396">
            <v>1</v>
          </cell>
          <cell r="O396">
            <v>1</v>
          </cell>
          <cell r="P396">
            <v>1</v>
          </cell>
          <cell r="Q396">
            <v>1</v>
          </cell>
          <cell r="R396">
            <v>1</v>
          </cell>
          <cell r="S396">
            <v>1</v>
          </cell>
          <cell r="T396" t="str">
            <v>RTO - Application Received</v>
          </cell>
          <cell r="AA396" t="str">
            <v>91155</v>
          </cell>
          <cell r="AB396" t="str">
            <v>Terry Gee Training &amp; Assessments Pty Ltd </v>
          </cell>
          <cell r="AC396" t="str">
            <v>Connection Group Australia </v>
          </cell>
          <cell r="AD396" t="str">
            <v>60 601 088 064</v>
          </cell>
          <cell r="AE396" t="str">
            <v>Mr Kevin James Davis</v>
          </cell>
          <cell r="AF396" t="str">
            <v>31-47 Tuggerah Gr</v>
          </cell>
          <cell r="AG396" t="str">
            <v>Tamborine</v>
          </cell>
          <cell r="AH396" t="str">
            <v>4270</v>
          </cell>
        </row>
        <row r="397">
          <cell r="K397">
            <v>1</v>
          </cell>
          <cell r="L397">
            <v>1</v>
          </cell>
          <cell r="M397">
            <v>1</v>
          </cell>
          <cell r="N397">
            <v>1</v>
          </cell>
          <cell r="O397">
            <v>44261</v>
          </cell>
          <cell r="P397">
            <v>1</v>
          </cell>
          <cell r="Q397">
            <v>1</v>
          </cell>
          <cell r="R397">
            <v>1</v>
          </cell>
          <cell r="S397">
            <v>44262</v>
          </cell>
          <cell r="T397" t="str">
            <v>RTO - Current - Application Approved</v>
          </cell>
          <cell r="AA397" t="str">
            <v>45726</v>
          </cell>
          <cell r="AB397" t="str">
            <v>LT Training Enterprises Pty Ltd</v>
          </cell>
          <cell r="AC397" t="str">
            <v>N/A</v>
          </cell>
          <cell r="AD397" t="str">
            <v>27 639 207 364</v>
          </cell>
          <cell r="AE397" t="str">
            <v>Mr Lourens Grobler (CEO); PC Grobler (Administration Manager)</v>
          </cell>
          <cell r="AF397" t="str">
            <v>137 Towen Mountain Rd</v>
          </cell>
          <cell r="AG397" t="str">
            <v>Towen Mountain</v>
          </cell>
          <cell r="AH397" t="str">
            <v>4560</v>
          </cell>
          <cell r="AP397" t="str">
            <v>No</v>
          </cell>
        </row>
        <row r="398">
          <cell r="K398">
            <v>1</v>
          </cell>
          <cell r="L398">
            <v>1</v>
          </cell>
          <cell r="M398">
            <v>1</v>
          </cell>
          <cell r="N398">
            <v>1</v>
          </cell>
          <cell r="O398">
            <v>1</v>
          </cell>
          <cell r="P398">
            <v>1</v>
          </cell>
          <cell r="Q398">
            <v>1</v>
          </cell>
          <cell r="R398">
            <v>1</v>
          </cell>
          <cell r="S398">
            <v>1</v>
          </cell>
          <cell r="T398" t="str">
            <v>RTO - Current - Application Approved</v>
          </cell>
          <cell r="AA398" t="str">
            <v>41594</v>
          </cell>
          <cell r="AB398" t="str">
            <v>Altus Training Pty Ltd</v>
          </cell>
          <cell r="AC398" t="str">
            <v>CivilEdge</v>
          </cell>
          <cell r="AD398" t="str">
            <v>13 161 243 214</v>
          </cell>
          <cell r="AE398" t="str">
            <v>Mr Benjamin Marsonet (CEO); Ms Joanne Croft (General Manager)</v>
          </cell>
          <cell r="AF398" t="str">
            <v>1 05, 3 Thomas Holt Drive</v>
          </cell>
          <cell r="AG398" t="str">
            <v>Macquarie Park</v>
          </cell>
          <cell r="AH398" t="str">
            <v>2113</v>
          </cell>
          <cell r="AP398" t="str">
            <v>No</v>
          </cell>
        </row>
        <row r="399">
          <cell r="K399">
            <v>1</v>
          </cell>
          <cell r="L399">
            <v>1</v>
          </cell>
          <cell r="M399">
            <v>1</v>
          </cell>
          <cell r="N399">
            <v>1</v>
          </cell>
          <cell r="O399">
            <v>1</v>
          </cell>
          <cell r="P399">
            <v>1</v>
          </cell>
          <cell r="Q399">
            <v>1</v>
          </cell>
          <cell r="R399">
            <v>1</v>
          </cell>
          <cell r="S399">
            <v>1</v>
          </cell>
          <cell r="T399" t="str">
            <v>RTO - Current - Application Approved</v>
          </cell>
          <cell r="AA399" t="str">
            <v>45747</v>
          </cell>
          <cell r="AB399" t="str">
            <v>Lack Group Training Pty Ltd</v>
          </cell>
          <cell r="AC399" t="str">
            <v>N/A</v>
          </cell>
          <cell r="AD399" t="str">
            <v>28 639 318 344</v>
          </cell>
          <cell r="AE399" t="str">
            <v>Ms Kia Parsons (Administration Manager)</v>
          </cell>
          <cell r="AF399" t="str">
            <v>14 John Duncan Ct</v>
          </cell>
          <cell r="AG399" t="str">
            <v>Varsity Lake</v>
          </cell>
          <cell r="AH399" t="str">
            <v>4227</v>
          </cell>
          <cell r="AP399" t="str">
            <v>No</v>
          </cell>
        </row>
        <row r="400">
          <cell r="K400">
            <v>1</v>
          </cell>
          <cell r="L400">
            <v>1</v>
          </cell>
          <cell r="M400">
            <v>1</v>
          </cell>
          <cell r="N400">
            <v>1</v>
          </cell>
          <cell r="O400">
            <v>1</v>
          </cell>
          <cell r="P400">
            <v>1</v>
          </cell>
          <cell r="Q400">
            <v>1</v>
          </cell>
          <cell r="R400">
            <v>1</v>
          </cell>
          <cell r="S400">
            <v>1</v>
          </cell>
          <cell r="T400" t="str">
            <v>RTO - Current - Application Approved</v>
          </cell>
          <cell r="AA400" t="str">
            <v>30380</v>
          </cell>
          <cell r="AB400" t="str">
            <v>Deception Bay State High School</v>
          </cell>
          <cell r="AC400" t="str">
            <v>N/A</v>
          </cell>
          <cell r="AD400" t="str">
            <v>75 633 015 329</v>
          </cell>
          <cell r="AE400" t="str">
            <v>Mr Goldy Sodhi (CEO); Ms Angela Woodward (HOT Vet); Mr Chris Fletcher (HOD)</v>
          </cell>
          <cell r="AF400" t="str">
            <v>Cnr Phillip Parade and Government St</v>
          </cell>
          <cell r="AG400" t="str">
            <v>Deception Bay</v>
          </cell>
          <cell r="AH400" t="str">
            <v>4508</v>
          </cell>
          <cell r="AP400" t="str">
            <v>Yes</v>
          </cell>
        </row>
        <row r="401">
          <cell r="K401">
            <v>1</v>
          </cell>
          <cell r="L401">
            <v>1</v>
          </cell>
          <cell r="M401">
            <v>1</v>
          </cell>
          <cell r="N401">
            <v>1</v>
          </cell>
          <cell r="O401">
            <v>1</v>
          </cell>
          <cell r="P401">
            <v>1</v>
          </cell>
          <cell r="Q401">
            <v>1</v>
          </cell>
          <cell r="R401">
            <v>1</v>
          </cell>
          <cell r="S401">
            <v>1</v>
          </cell>
          <cell r="T401" t="str">
            <v>RTO - Current - Application Approved</v>
          </cell>
          <cell r="AA401" t="str">
            <v>30950</v>
          </cell>
          <cell r="AB401" t="str">
            <v>Cleveland Education and Training Centre</v>
          </cell>
          <cell r="AC401" t="str">
            <v>N/A</v>
          </cell>
          <cell r="AD401" t="str">
            <v>12 465 008 998</v>
          </cell>
          <cell r="AE401" t="str">
            <v>Mr Gavin Moncur (CEO); Mr Brendan Hanson (RTO Manager)</v>
          </cell>
          <cell r="AF401" t="str">
            <v>Cleveland Youth Detention Center, 27 Old Common Rd</v>
          </cell>
          <cell r="AG401" t="str">
            <v>Belgian Gardens</v>
          </cell>
          <cell r="AH401" t="str">
            <v>4810</v>
          </cell>
          <cell r="AP401" t="str">
            <v>Yes</v>
          </cell>
        </row>
        <row r="402">
          <cell r="K402">
            <v>1</v>
          </cell>
          <cell r="L402">
            <v>1</v>
          </cell>
          <cell r="M402">
            <v>1</v>
          </cell>
          <cell r="N402">
            <v>1</v>
          </cell>
          <cell r="O402">
            <v>1</v>
          </cell>
          <cell r="P402">
            <v>1</v>
          </cell>
          <cell r="Q402">
            <v>1</v>
          </cell>
          <cell r="R402">
            <v>1</v>
          </cell>
          <cell r="S402">
            <v>1</v>
          </cell>
          <cell r="T402" t="str">
            <v>RTO - Application Received</v>
          </cell>
          <cell r="AA402" t="str">
            <v>30052</v>
          </cell>
          <cell r="AB402" t="str">
            <v>Blackwater State High School</v>
          </cell>
          <cell r="AC402" t="str">
            <v>N/A</v>
          </cell>
          <cell r="AD402" t="str">
            <v>83 339 798 065</v>
          </cell>
          <cell r="AE402" t="str">
            <v xml:space="preserve"> Christopher Smith</v>
          </cell>
          <cell r="AF402" t="str">
            <v>Elm Street</v>
          </cell>
          <cell r="AG402" t="str">
            <v>Blackwater</v>
          </cell>
          <cell r="AH402" t="str">
            <v>4717</v>
          </cell>
          <cell r="AP402" t="str">
            <v>Yes</v>
          </cell>
        </row>
        <row r="403">
          <cell r="K403">
            <v>1</v>
          </cell>
          <cell r="L403">
            <v>1</v>
          </cell>
          <cell r="M403">
            <v>1</v>
          </cell>
          <cell r="N403">
            <v>1</v>
          </cell>
          <cell r="O403">
            <v>1</v>
          </cell>
          <cell r="P403">
            <v>1</v>
          </cell>
          <cell r="Q403">
            <v>1</v>
          </cell>
          <cell r="R403">
            <v>1</v>
          </cell>
          <cell r="S403">
            <v>1</v>
          </cell>
          <cell r="T403" t="str">
            <v>RTO - Application Received</v>
          </cell>
          <cell r="AA403" t="str">
            <v>41173</v>
          </cell>
          <cell r="AB403" t="str">
            <v>TALON EDUCATION AND TRAINING PTY LTD</v>
          </cell>
          <cell r="AC403" t="str">
            <v>TALON EDUCATION AND TRAINING PTY LTD</v>
          </cell>
          <cell r="AD403" t="str">
            <v>33 600 828 386</v>
          </cell>
          <cell r="AE403" t="str">
            <v>Mr. Leo Mahoney</v>
          </cell>
          <cell r="AF403" t="str">
            <v>61 Linda Dr</v>
          </cell>
          <cell r="AG403" t="str">
            <v>DUBBO</v>
          </cell>
          <cell r="AH403" t="str">
            <v>2830</v>
          </cell>
        </row>
        <row r="404"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 t="str">
            <v>RTO - Application Received</v>
          </cell>
          <cell r="AA404" t="str">
            <v>40807</v>
          </cell>
          <cell r="AB404" t="str">
            <v>The Roman Catholic Trust Corporation for the Diocese of Cairns</v>
          </cell>
          <cell r="AC404" t="str">
            <v>St Augustine's College</v>
          </cell>
          <cell r="AD404" t="str">
            <v>42 498 340 094</v>
          </cell>
          <cell r="AE404" t="str">
            <v>Mr Matthew Brennan</v>
          </cell>
          <cell r="AF404" t="str">
            <v>251 Draper St</v>
          </cell>
          <cell r="AG404" t="str">
            <v>Cairns</v>
          </cell>
          <cell r="AH404" t="str">
            <v>4870</v>
          </cell>
        </row>
        <row r="405">
          <cell r="K405">
            <v>1</v>
          </cell>
          <cell r="L405">
            <v>1</v>
          </cell>
          <cell r="M405">
            <v>1</v>
          </cell>
          <cell r="N405">
            <v>1</v>
          </cell>
          <cell r="O405">
            <v>1</v>
          </cell>
          <cell r="P405">
            <v>1</v>
          </cell>
          <cell r="Q405">
            <v>1</v>
          </cell>
          <cell r="R405">
            <v>1</v>
          </cell>
          <cell r="S405">
            <v>1</v>
          </cell>
          <cell r="T405" t="str">
            <v>RTO - Current - Application Approved</v>
          </cell>
          <cell r="AA405" t="str">
            <v>45608</v>
          </cell>
          <cell r="AB405" t="str">
            <v>CTA Create Train Achieve</v>
          </cell>
          <cell r="AC405" t="str">
            <v>N/A</v>
          </cell>
          <cell r="AD405" t="str">
            <v>32 636 821 942</v>
          </cell>
          <cell r="AE405" t="str">
            <v>Mr Damian Paul (CEO); Ms Chloe Callaghan (Compliance Manager)</v>
          </cell>
          <cell r="AF405" t="str">
            <v>7 Jamieson Way</v>
          </cell>
          <cell r="AG405" t="str">
            <v>Dandenong South</v>
          </cell>
          <cell r="AH405" t="str">
            <v>3175</v>
          </cell>
          <cell r="AP405" t="str">
            <v>No</v>
          </cell>
        </row>
        <row r="406">
          <cell r="K406">
            <v>1</v>
          </cell>
          <cell r="L406">
            <v>1</v>
          </cell>
          <cell r="M406">
            <v>1</v>
          </cell>
          <cell r="N406">
            <v>1</v>
          </cell>
          <cell r="O406">
            <v>1</v>
          </cell>
          <cell r="P406">
            <v>1</v>
          </cell>
          <cell r="Q406">
            <v>1</v>
          </cell>
          <cell r="R406">
            <v>1</v>
          </cell>
          <cell r="S406">
            <v>1</v>
          </cell>
          <cell r="T406" t="str">
            <v>RTO - Application Received</v>
          </cell>
          <cell r="AA406" t="str">
            <v>91627</v>
          </cell>
          <cell r="AB406" t="str">
            <v>Industrico Pty Ltd</v>
          </cell>
          <cell r="AC406" t="str">
            <v>Yalagan Registered Training</v>
          </cell>
          <cell r="AD406" t="str">
            <v>24 096 380 111</v>
          </cell>
          <cell r="AE406" t="str">
            <v>Mr Nathan Martin</v>
          </cell>
          <cell r="AF406" t="str">
            <v>5 Exell Street</v>
          </cell>
          <cell r="AG406" t="str">
            <v>Banksmeadow</v>
          </cell>
          <cell r="AH406" t="str">
            <v>2019</v>
          </cell>
        </row>
        <row r="407">
          <cell r="K407">
            <v>1</v>
          </cell>
          <cell r="L407">
            <v>1</v>
          </cell>
          <cell r="M407">
            <v>1</v>
          </cell>
          <cell r="N407">
            <v>1</v>
          </cell>
          <cell r="O407">
            <v>1</v>
          </cell>
          <cell r="P407">
            <v>1</v>
          </cell>
          <cell r="Q407">
            <v>1</v>
          </cell>
          <cell r="R407">
            <v>1</v>
          </cell>
          <cell r="S407">
            <v>1</v>
          </cell>
          <cell r="T407" t="str">
            <v>RTO - Application in Review</v>
          </cell>
          <cell r="AA407" t="str">
            <v>45504</v>
          </cell>
          <cell r="AB407" t="str">
            <v>TLH Training Group Pty Ltd</v>
          </cell>
          <cell r="AC407" t="str">
            <v>TLH Training Group Pty Ltd</v>
          </cell>
          <cell r="AD407" t="str">
            <v>31 625 689 367</v>
          </cell>
          <cell r="AE407" t="str">
            <v>Paul El-Helou</v>
          </cell>
          <cell r="AF407" t="str">
            <v>Level 6 10 Smith St</v>
          </cell>
          <cell r="AG407" t="str">
            <v>Paramatta</v>
          </cell>
          <cell r="AH407" t="str">
            <v>2150</v>
          </cell>
        </row>
        <row r="408">
          <cell r="K408">
            <v>1</v>
          </cell>
          <cell r="L408">
            <v>1</v>
          </cell>
          <cell r="M408">
            <v>1</v>
          </cell>
          <cell r="N408">
            <v>1</v>
          </cell>
          <cell r="O408">
            <v>1</v>
          </cell>
          <cell r="P408">
            <v>1</v>
          </cell>
          <cell r="Q408">
            <v>1</v>
          </cell>
          <cell r="R408">
            <v>1</v>
          </cell>
          <cell r="S408">
            <v>1</v>
          </cell>
          <cell r="T408" t="str">
            <v>RTO - Application Withdrawn</v>
          </cell>
          <cell r="AA408" t="str">
            <v>45567</v>
          </cell>
          <cell r="AB408" t="str">
            <v>CHBE Ltd</v>
          </cell>
          <cell r="AC408" t="str">
            <v>Faith Christian School of Distance Education</v>
          </cell>
          <cell r="AD408" t="str">
            <v>48 150 173 970</v>
          </cell>
          <cell r="AE408" t="str">
            <v>Mark Dunnett</v>
          </cell>
          <cell r="AF408" t="str">
            <v>15 Geonic Street</v>
          </cell>
          <cell r="AG408" t="str">
            <v>WOODRIDGE</v>
          </cell>
          <cell r="AH408" t="str">
            <v>4144</v>
          </cell>
        </row>
        <row r="409">
          <cell r="K409">
            <v>1</v>
          </cell>
          <cell r="L409">
            <v>1</v>
          </cell>
          <cell r="M409">
            <v>1</v>
          </cell>
          <cell r="N409">
            <v>1</v>
          </cell>
          <cell r="O409">
            <v>1</v>
          </cell>
          <cell r="P409">
            <v>1</v>
          </cell>
          <cell r="Q409">
            <v>1</v>
          </cell>
          <cell r="R409">
            <v>1</v>
          </cell>
          <cell r="S409">
            <v>1</v>
          </cell>
          <cell r="T409" t="str">
            <v>RTO - Current - Application Approved</v>
          </cell>
          <cell r="AA409" t="str">
            <v>45446</v>
          </cell>
          <cell r="AB409" t="str">
            <v>Burpengary State Secondary College</v>
          </cell>
          <cell r="AC409" t="str">
            <v>Burpengary State Secondary College</v>
          </cell>
          <cell r="AD409" t="str">
            <v>20 278 920 229</v>
          </cell>
          <cell r="AE409" t="str">
            <v>Mr Peter Hoehn (CEO); Ms Karen Kellett (VET Coordinator)</v>
          </cell>
          <cell r="AF409" t="str">
            <v>Pitt Road</v>
          </cell>
          <cell r="AG409" t="str">
            <v>Burpengary</v>
          </cell>
          <cell r="AH409" t="str">
            <v>4505</v>
          </cell>
          <cell r="AP409" t="str">
            <v>Yes</v>
          </cell>
        </row>
        <row r="410">
          <cell r="K410">
            <v>1</v>
          </cell>
          <cell r="L410">
            <v>1</v>
          </cell>
          <cell r="M410">
            <v>1</v>
          </cell>
          <cell r="N410">
            <v>1</v>
          </cell>
          <cell r="O410">
            <v>1</v>
          </cell>
          <cell r="P410">
            <v>1</v>
          </cell>
          <cell r="Q410">
            <v>1</v>
          </cell>
          <cell r="R410">
            <v>1</v>
          </cell>
          <cell r="S410">
            <v>1</v>
          </cell>
          <cell r="T410" t="str">
            <v>RTO - Application Received</v>
          </cell>
          <cell r="AA410" t="str">
            <v>0104</v>
          </cell>
          <cell r="AB410" t="str">
            <v>Career Employment Australia Ltd</v>
          </cell>
          <cell r="AC410" t="str">
            <v>CAREER EMPLOYMENT AUSTRALIA INCORPORATED</v>
          </cell>
          <cell r="AD410" t="str">
            <v>65 650 875 007</v>
          </cell>
          <cell r="AE410" t="str">
            <v>Vicki Bailey</v>
          </cell>
          <cell r="AF410" t="str">
            <v>29 Cambridge Street</v>
          </cell>
          <cell r="AG410" t="str">
            <v>Coorparoo</v>
          </cell>
          <cell r="AH410" t="str">
            <v>4151</v>
          </cell>
        </row>
        <row r="411">
          <cell r="K411">
            <v>1</v>
          </cell>
          <cell r="L411">
            <v>1</v>
          </cell>
          <cell r="M411">
            <v>1</v>
          </cell>
          <cell r="N411">
            <v>1</v>
          </cell>
          <cell r="O411">
            <v>1</v>
          </cell>
          <cell r="P411">
            <v>1</v>
          </cell>
          <cell r="Q411">
            <v>1</v>
          </cell>
          <cell r="R411">
            <v>1</v>
          </cell>
          <cell r="S411">
            <v>1</v>
          </cell>
          <cell r="T411" t="str">
            <v>RTO - Application Received</v>
          </cell>
          <cell r="AA411" t="str">
            <v>30237</v>
          </cell>
          <cell r="AB411" t="str">
            <v>Bray Park State High School</v>
          </cell>
          <cell r="AC411" t="str">
            <v>N/A</v>
          </cell>
          <cell r="AE411" t="str">
            <v>Peter Turner</v>
          </cell>
          <cell r="AF411" t="str">
            <v>Lavarack Road</v>
          </cell>
          <cell r="AG411" t="str">
            <v>Bray Park</v>
          </cell>
          <cell r="AH411" t="str">
            <v>4500</v>
          </cell>
          <cell r="AP411" t="str">
            <v>Yes</v>
          </cell>
        </row>
        <row r="412">
          <cell r="K412">
            <v>1</v>
          </cell>
          <cell r="L412">
            <v>1</v>
          </cell>
          <cell r="M412">
            <v>1</v>
          </cell>
          <cell r="N412">
            <v>1</v>
          </cell>
          <cell r="O412">
            <v>1</v>
          </cell>
          <cell r="P412">
            <v>1</v>
          </cell>
          <cell r="Q412">
            <v>1</v>
          </cell>
          <cell r="R412">
            <v>1</v>
          </cell>
          <cell r="S412">
            <v>1</v>
          </cell>
          <cell r="T412" t="str">
            <v>RTO - Current - Application Approved</v>
          </cell>
          <cell r="AA412" t="str">
            <v>0686</v>
          </cell>
          <cell r="AB412" t="str">
            <v>Australian Training Academy Pty. Ltd.</v>
          </cell>
          <cell r="AC412" t="str">
            <v>Australian Training Academy Pty Ltd</v>
          </cell>
          <cell r="AD412" t="str">
            <v>74 068 264 095</v>
          </cell>
          <cell r="AE412" t="str">
            <v>Mr Richard Heaton (CEO); Ms Karen Siemons (Executive General Manager)</v>
          </cell>
          <cell r="AF412" t="str">
            <v>49 Chetwynd St</v>
          </cell>
          <cell r="AG412" t="str">
            <v>Loganholme</v>
          </cell>
          <cell r="AH412" t="str">
            <v>4129</v>
          </cell>
          <cell r="AP412" t="str">
            <v>No</v>
          </cell>
        </row>
        <row r="413">
          <cell r="K413">
            <v>1</v>
          </cell>
          <cell r="L413">
            <v>1</v>
          </cell>
          <cell r="M413">
            <v>1</v>
          </cell>
          <cell r="N413">
            <v>1</v>
          </cell>
          <cell r="O413">
            <v>1</v>
          </cell>
          <cell r="P413">
            <v>1</v>
          </cell>
          <cell r="Q413">
            <v>1</v>
          </cell>
          <cell r="R413">
            <v>1</v>
          </cell>
          <cell r="S413">
            <v>1</v>
          </cell>
          <cell r="T413" t="str">
            <v>RTO - Current - Application Approved</v>
          </cell>
          <cell r="AA413" t="str">
            <v>30390</v>
          </cell>
          <cell r="AB413" t="str">
            <v>Lockyer District State High School</v>
          </cell>
          <cell r="AC413" t="str">
            <v>Lockyer District State High School</v>
          </cell>
          <cell r="AD413" t="str">
            <v>26 036 997 944</v>
          </cell>
          <cell r="AE413" t="str">
            <v>Belinda Walker (CEO); Karen Baratta (Manager)</v>
          </cell>
          <cell r="AF413" t="str">
            <v>100 William Street</v>
          </cell>
          <cell r="AG413" t="str">
            <v>Gatton</v>
          </cell>
          <cell r="AH413" t="str">
            <v>4343</v>
          </cell>
          <cell r="AP413" t="str">
            <v>Yes</v>
          </cell>
        </row>
        <row r="414">
          <cell r="K414">
            <v>1</v>
          </cell>
          <cell r="L414">
            <v>1</v>
          </cell>
          <cell r="M414">
            <v>1</v>
          </cell>
          <cell r="N414">
            <v>1</v>
          </cell>
          <cell r="O414">
            <v>1</v>
          </cell>
          <cell r="P414">
            <v>1</v>
          </cell>
          <cell r="Q414">
            <v>1</v>
          </cell>
          <cell r="R414">
            <v>1</v>
          </cell>
          <cell r="S414">
            <v>1</v>
          </cell>
          <cell r="T414" t="str">
            <v>RTO - Application in Review</v>
          </cell>
          <cell r="AA414" t="str">
            <v>40776</v>
          </cell>
          <cell r="AB414" t="str">
            <v>Osten, Adam J</v>
          </cell>
          <cell r="AC414" t="str">
            <v xml:space="preserve">  Osten Group</v>
          </cell>
          <cell r="AD414" t="str">
            <v>37 737 601 867</v>
          </cell>
          <cell r="AE414" t="str">
            <v>Mr Adam Osten (CEO); Mrs. Sonya Osten (Manager)</v>
          </cell>
          <cell r="AF414" t="str">
            <v>30 Young Street</v>
          </cell>
          <cell r="AG414" t="str">
            <v>Tawonga South</v>
          </cell>
          <cell r="AH414" t="str">
            <v>3698</v>
          </cell>
          <cell r="AP414" t="str">
            <v>No</v>
          </cell>
        </row>
        <row r="415">
          <cell r="K415">
            <v>1</v>
          </cell>
          <cell r="L415">
            <v>1</v>
          </cell>
          <cell r="M415">
            <v>1</v>
          </cell>
          <cell r="N415">
            <v>1</v>
          </cell>
          <cell r="O415">
            <v>1</v>
          </cell>
          <cell r="P415">
            <v>1</v>
          </cell>
          <cell r="Q415">
            <v>1</v>
          </cell>
          <cell r="R415">
            <v>1</v>
          </cell>
          <cell r="S415">
            <v>1</v>
          </cell>
          <cell r="T415" t="str">
            <v>RTO - Application Received</v>
          </cell>
          <cell r="AA415" t="str">
            <v>91443</v>
          </cell>
          <cell r="AB415" t="str">
            <v>Accredited Training Licensing &amp; Assessment Services Pty Ltd</v>
          </cell>
          <cell r="AC415" t="str">
            <v>ATLAS TRAINING</v>
          </cell>
          <cell r="AD415" t="str">
            <v>31 116 254 712</v>
          </cell>
          <cell r="AE415" t="str">
            <v>Mr Paul Pagano</v>
          </cell>
          <cell r="AF415" t="str">
            <v>1 Mayo Road</v>
          </cell>
          <cell r="AG415" t="str">
            <v>Llandilo NSW</v>
          </cell>
          <cell r="AH415" t="str">
            <v>2747</v>
          </cell>
        </row>
        <row r="416">
          <cell r="K416">
            <v>1</v>
          </cell>
          <cell r="L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R416">
            <v>1</v>
          </cell>
          <cell r="S416">
            <v>1</v>
          </cell>
          <cell r="T416" t="str">
            <v>RTO - Application Withdrawn</v>
          </cell>
          <cell r="AA416" t="str">
            <v>90674</v>
          </cell>
          <cell r="AB416" t="str">
            <v>RTV Consultancy Pty Ltd</v>
          </cell>
          <cell r="AC416" t="str">
            <v>RTV Training</v>
          </cell>
          <cell r="AD416" t="str">
            <v>53 078 149 630</v>
          </cell>
          <cell r="AE416" t="str">
            <v>JASON ANDREW McDONALD</v>
          </cell>
          <cell r="AF416" t="str">
            <v>B28 - 2 DeBoer Drive</v>
          </cell>
          <cell r="AG416" t="str">
            <v>EAST RIDGLEY TAS</v>
          </cell>
          <cell r="AH416" t="str">
            <v>7321</v>
          </cell>
        </row>
        <row r="417">
          <cell r="K417">
            <v>1</v>
          </cell>
          <cell r="L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R417">
            <v>1</v>
          </cell>
          <cell r="S417">
            <v>1</v>
          </cell>
          <cell r="T417" t="str">
            <v>RTO - Current - Application Approved</v>
          </cell>
          <cell r="AA417" t="str">
            <v>41413</v>
          </cell>
          <cell r="AB417" t="str">
            <v>Valley International Pty Ltd</v>
          </cell>
          <cell r="AC417" t="str">
            <v>Valley International College</v>
          </cell>
          <cell r="AD417" t="str">
            <v>54 608 933 357</v>
          </cell>
          <cell r="AE417" t="str">
            <v>Ms Fiona Parrish (CEO); Ms Rupali Sodhi (Student Support Officer)</v>
          </cell>
          <cell r="AF417" t="str">
            <v>433 Boundary St</v>
          </cell>
          <cell r="AG417" t="str">
            <v>Spring Hill</v>
          </cell>
          <cell r="AH417" t="str">
            <v>4000</v>
          </cell>
          <cell r="AP417" t="str">
            <v>No</v>
          </cell>
        </row>
        <row r="418">
          <cell r="K418">
            <v>1</v>
          </cell>
          <cell r="L418">
            <v>1</v>
          </cell>
          <cell r="M418">
            <v>1</v>
          </cell>
          <cell r="N418">
            <v>1</v>
          </cell>
          <cell r="O418">
            <v>1</v>
          </cell>
          <cell r="P418">
            <v>1</v>
          </cell>
          <cell r="Q418">
            <v>1</v>
          </cell>
          <cell r="R418">
            <v>1</v>
          </cell>
          <cell r="S418">
            <v>1</v>
          </cell>
          <cell r="T418" t="str">
            <v>RTO - Application Received</v>
          </cell>
          <cell r="AA418" t="str">
            <v>32221</v>
          </cell>
          <cell r="AB418" t="str">
            <v>Coral Sea Training and Employment Service Pty Ltd</v>
          </cell>
          <cell r="AC418" t="str">
            <v>Coral Sea Training</v>
          </cell>
          <cell r="AD418" t="str">
            <v>51 616 987 190</v>
          </cell>
          <cell r="AE418" t="str">
            <v>Mr Lance Stone</v>
          </cell>
          <cell r="AF418" t="str">
            <v>40 Charles Street</v>
          </cell>
          <cell r="AG418" t="str">
            <v>Aitkenvale</v>
          </cell>
          <cell r="AH418" t="str">
            <v>4814</v>
          </cell>
        </row>
        <row r="419">
          <cell r="K419">
            <v>1</v>
          </cell>
          <cell r="L419">
            <v>1</v>
          </cell>
          <cell r="M419">
            <v>1</v>
          </cell>
          <cell r="N419">
            <v>1</v>
          </cell>
          <cell r="O419">
            <v>1</v>
          </cell>
          <cell r="P419">
            <v>1</v>
          </cell>
          <cell r="Q419">
            <v>1</v>
          </cell>
          <cell r="R419">
            <v>1</v>
          </cell>
          <cell r="S419">
            <v>1</v>
          </cell>
          <cell r="T419" t="str">
            <v>RTO - Application Received</v>
          </cell>
          <cell r="AA419" t="str">
            <v>45193</v>
          </cell>
          <cell r="AB419" t="str">
            <v>Blume, Gregory William</v>
          </cell>
          <cell r="AC419" t="str">
            <v>Business Wise First Aid Training</v>
          </cell>
          <cell r="AD419" t="str">
            <v>49 192 587 977</v>
          </cell>
          <cell r="AE419" t="str">
            <v>Mr. Greg Blume</v>
          </cell>
          <cell r="AF419" t="str">
            <v>37-39 Broadmeadow Rd</v>
          </cell>
          <cell r="AG419" t="str">
            <v>BROADMEADOW NSW</v>
          </cell>
          <cell r="AH419" t="str">
            <v>2292</v>
          </cell>
        </row>
        <row r="420">
          <cell r="K420">
            <v>1</v>
          </cell>
          <cell r="L420">
            <v>1</v>
          </cell>
          <cell r="M420">
            <v>1</v>
          </cell>
          <cell r="N420">
            <v>1</v>
          </cell>
          <cell r="O420">
            <v>1</v>
          </cell>
          <cell r="P420">
            <v>1</v>
          </cell>
          <cell r="Q420">
            <v>1</v>
          </cell>
          <cell r="R420">
            <v>1</v>
          </cell>
          <cell r="S420">
            <v>1</v>
          </cell>
          <cell r="T420" t="str">
            <v>RTO - Current - Application Approved</v>
          </cell>
          <cell r="AA420" t="str">
            <v>30409</v>
          </cell>
          <cell r="AB420" t="str">
            <v>Mount Morgan State High School</v>
          </cell>
          <cell r="AC420" t="str">
            <v>N/A</v>
          </cell>
          <cell r="AD420" t="str">
            <v>46 630 826 250</v>
          </cell>
          <cell r="AE420" t="str">
            <v>Mr Daniel Petersen (CEO); Ms Kim Snell (RTO Manager)</v>
          </cell>
          <cell r="AF420" t="str">
            <v>4 CENTRAL ST</v>
          </cell>
          <cell r="AG420" t="str">
            <v>Mount Morgan</v>
          </cell>
          <cell r="AH420" t="str">
            <v>4714</v>
          </cell>
          <cell r="AP420" t="str">
            <v>Yes</v>
          </cell>
        </row>
        <row r="421">
          <cell r="K421">
            <v>1</v>
          </cell>
          <cell r="L421">
            <v>1</v>
          </cell>
          <cell r="M421">
            <v>1</v>
          </cell>
          <cell r="N421">
            <v>1</v>
          </cell>
          <cell r="O421">
            <v>1</v>
          </cell>
          <cell r="P421">
            <v>1</v>
          </cell>
          <cell r="Q421">
            <v>1</v>
          </cell>
          <cell r="R421">
            <v>1</v>
          </cell>
          <cell r="S421">
            <v>1</v>
          </cell>
          <cell r="T421" t="str">
            <v>RTO - Application Received</v>
          </cell>
          <cell r="AA421" t="str">
            <v>45200</v>
          </cell>
          <cell r="AB421" t="str">
            <v>AFG SECURITY AND PROTECTIVE SERVICES PTY LTD</v>
          </cell>
          <cell r="AC421" t="str">
            <v>Excel College Australia</v>
          </cell>
          <cell r="AD421" t="str">
            <v>66 156 203 691</v>
          </cell>
          <cell r="AE421" t="str">
            <v>Melissa Veidreyaki</v>
          </cell>
          <cell r="AF421" t="str">
            <v>LVL 3, U3C, 40 Raymond Street</v>
          </cell>
          <cell r="AG421" t="str">
            <v>BANKSTOWN</v>
          </cell>
          <cell r="AH421" t="str">
            <v>2200</v>
          </cell>
        </row>
        <row r="422">
          <cell r="K422">
            <v>1</v>
          </cell>
          <cell r="L422">
            <v>1</v>
          </cell>
          <cell r="M422">
            <v>1</v>
          </cell>
          <cell r="N422">
            <v>1</v>
          </cell>
          <cell r="O422">
            <v>1</v>
          </cell>
          <cell r="P422">
            <v>1</v>
          </cell>
          <cell r="Q422">
            <v>1</v>
          </cell>
          <cell r="R422">
            <v>1</v>
          </cell>
          <cell r="S422">
            <v>1</v>
          </cell>
          <cell r="T422" t="str">
            <v>RTO - Current - Application Approved</v>
          </cell>
          <cell r="AA422" t="str">
            <v>41351</v>
          </cell>
          <cell r="AB422" t="str">
            <v>SkillPath Pty Ltd</v>
          </cell>
          <cell r="AC422" t="str">
            <v>SkillPath</v>
          </cell>
          <cell r="AD422" t="str">
            <v>88 164 301 786</v>
          </cell>
          <cell r="AE422" t="str">
            <v>Mr Jason Robert Hartwelll (CEO)</v>
          </cell>
          <cell r="AF422" t="str">
            <v>10 Clermont St</v>
          </cell>
          <cell r="AG422" t="str">
            <v>Emerald</v>
          </cell>
          <cell r="AH422" t="str">
            <v>4720</v>
          </cell>
          <cell r="AP422" t="str">
            <v>No</v>
          </cell>
        </row>
        <row r="423">
          <cell r="K423">
            <v>1</v>
          </cell>
          <cell r="L423">
            <v>1</v>
          </cell>
          <cell r="M423">
            <v>1</v>
          </cell>
          <cell r="N423">
            <v>1</v>
          </cell>
          <cell r="O423">
            <v>1</v>
          </cell>
          <cell r="P423">
            <v>1</v>
          </cell>
          <cell r="Q423">
            <v>1</v>
          </cell>
          <cell r="R423">
            <v>1</v>
          </cell>
          <cell r="S423">
            <v>1</v>
          </cell>
          <cell r="T423" t="str">
            <v>RTO - Current - Application Approved</v>
          </cell>
          <cell r="AA423" t="str">
            <v>45802</v>
          </cell>
          <cell r="AB423" t="str">
            <v>Hilton Group QLD. Pty Ltd</v>
          </cell>
          <cell r="AC423" t="str">
            <v>Forky Stick Training and Safety Consultants</v>
          </cell>
          <cell r="AD423" t="str">
            <v>69 641 210 639</v>
          </cell>
          <cell r="AE423" t="str">
            <v>Mr Scott Hilton (CEO)</v>
          </cell>
          <cell r="AF423" t="str">
            <v>609 Lakes Creek Road</v>
          </cell>
          <cell r="AG423" t="str">
            <v>Lakes Creek</v>
          </cell>
          <cell r="AH423" t="str">
            <v>4701</v>
          </cell>
          <cell r="AP423" t="str">
            <v>No</v>
          </cell>
        </row>
        <row r="424">
          <cell r="K424">
            <v>1</v>
          </cell>
          <cell r="L424">
            <v>1</v>
          </cell>
          <cell r="M424">
            <v>1</v>
          </cell>
          <cell r="N424">
            <v>1</v>
          </cell>
          <cell r="O424">
            <v>1</v>
          </cell>
          <cell r="P424">
            <v>1</v>
          </cell>
          <cell r="Q424">
            <v>1</v>
          </cell>
          <cell r="R424">
            <v>1</v>
          </cell>
          <cell r="S424">
            <v>1</v>
          </cell>
          <cell r="T424" t="str">
            <v>RTO - Current - Application Approved</v>
          </cell>
          <cell r="AA424" t="str">
            <v>45682</v>
          </cell>
          <cell r="AB424" t="str">
            <v>A-OK Training Pty Ltd</v>
          </cell>
          <cell r="AC424" t="str">
            <v>N/A</v>
          </cell>
          <cell r="AD424" t="str">
            <v>44 642 451 474</v>
          </cell>
          <cell r="AE424" t="str">
            <v>Mr Anthony Craig Burke (CEO); Ms Katrina Burke (RTO Manager)</v>
          </cell>
          <cell r="AF424" t="str">
            <v>Shop 28 250 Telegraph Rd</v>
          </cell>
          <cell r="AG424" t="str">
            <v>Bracken Ridge</v>
          </cell>
          <cell r="AH424" t="str">
            <v>4017</v>
          </cell>
          <cell r="AP424" t="str">
            <v>No</v>
          </cell>
        </row>
        <row r="425">
          <cell r="K425">
            <v>1</v>
          </cell>
          <cell r="L425">
            <v>1</v>
          </cell>
          <cell r="M425">
            <v>1</v>
          </cell>
          <cell r="N425">
            <v>1</v>
          </cell>
          <cell r="O425">
            <v>1</v>
          </cell>
          <cell r="P425">
            <v>1</v>
          </cell>
          <cell r="Q425">
            <v>1</v>
          </cell>
          <cell r="R425">
            <v>1</v>
          </cell>
          <cell r="S425">
            <v>1</v>
          </cell>
          <cell r="T425" t="str">
            <v>RTO - Current - Application Approved</v>
          </cell>
          <cell r="AA425" t="str">
            <v>41304</v>
          </cell>
          <cell r="AB425" t="str">
            <v>PM2 Pty Ltd</v>
          </cell>
          <cell r="AC425" t="str">
            <v>PM Squared</v>
          </cell>
          <cell r="AD425" t="str">
            <v>46 606 519 073</v>
          </cell>
          <cell r="AE425" t="str">
            <v>Mr Paul Hetmanska (CEO); Mrs Pam Hetmanska (Office Manager)</v>
          </cell>
          <cell r="AF425" t="str">
            <v>71 Springburn Dr</v>
          </cell>
          <cell r="AG425" t="str">
            <v>GLASS HOUSE MOUNTAINS</v>
          </cell>
          <cell r="AH425" t="str">
            <v>4518</v>
          </cell>
          <cell r="AP425" t="str">
            <v>No</v>
          </cell>
        </row>
        <row r="426">
          <cell r="K426">
            <v>1</v>
          </cell>
          <cell r="L426">
            <v>1</v>
          </cell>
          <cell r="M426">
            <v>1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R426">
            <v>1</v>
          </cell>
          <cell r="S426">
            <v>1</v>
          </cell>
          <cell r="T426" t="str">
            <v>RTO - Current - Application Approved</v>
          </cell>
          <cell r="AA426" t="str">
            <v>45597</v>
          </cell>
          <cell r="AB426" t="str">
            <v>Sheer Workplace Training Pty Ltd</v>
          </cell>
          <cell r="AC426" t="str">
            <v>N/A</v>
          </cell>
          <cell r="AD426" t="str">
            <v>84 153 530 388</v>
          </cell>
          <cell r="AE426" t="str">
            <v>Mr John Parker (CEO); Mrs Nicole Freeman (RTO Manager)</v>
          </cell>
          <cell r="AF426" t="str">
            <v>Unit 6, 15 Porter St</v>
          </cell>
          <cell r="AG426" t="str">
            <v>Hemmant</v>
          </cell>
          <cell r="AH426" t="str">
            <v>4174</v>
          </cell>
          <cell r="AP426" t="str">
            <v>No</v>
          </cell>
        </row>
        <row r="427">
          <cell r="K427">
            <v>1</v>
          </cell>
          <cell r="L427">
            <v>1</v>
          </cell>
          <cell r="M427">
            <v>1</v>
          </cell>
          <cell r="N427">
            <v>1</v>
          </cell>
          <cell r="O427">
            <v>1</v>
          </cell>
          <cell r="P427">
            <v>1</v>
          </cell>
          <cell r="Q427">
            <v>1</v>
          </cell>
          <cell r="R427">
            <v>1</v>
          </cell>
          <cell r="S427">
            <v>1</v>
          </cell>
          <cell r="T427" t="str">
            <v>RTO - Current - Application Approved</v>
          </cell>
          <cell r="AA427" t="str">
            <v>31888</v>
          </cell>
          <cell r="AB427" t="str">
            <v>D P Training Pty Ltd as The Trustee for Goodeve Family Trust</v>
          </cell>
          <cell r="AC427" t="str">
            <v>Developing Personnel Training &amp; Consultancy</v>
          </cell>
          <cell r="AD427" t="str">
            <v>32 219 381 422</v>
          </cell>
          <cell r="AE427" t="str">
            <v>Mrs Debbie Goodeve (CEO)</v>
          </cell>
          <cell r="AF427" t="str">
            <v>162 Abbotsford Rd</v>
          </cell>
          <cell r="AG427" t="str">
            <v>Bowen Hills</v>
          </cell>
          <cell r="AH427" t="str">
            <v>4006</v>
          </cell>
          <cell r="AP427" t="str">
            <v>No</v>
          </cell>
        </row>
        <row r="428">
          <cell r="K428">
            <v>1</v>
          </cell>
          <cell r="L428">
            <v>1</v>
          </cell>
          <cell r="M428">
            <v>1</v>
          </cell>
          <cell r="N428">
            <v>1</v>
          </cell>
          <cell r="O428">
            <v>1</v>
          </cell>
          <cell r="P428">
            <v>1</v>
          </cell>
          <cell r="Q428">
            <v>1</v>
          </cell>
          <cell r="R428">
            <v>1</v>
          </cell>
          <cell r="S428">
            <v>1</v>
          </cell>
          <cell r="T428" t="str">
            <v>RTO - Current - Application Approved</v>
          </cell>
          <cell r="AA428" t="str">
            <v>91577</v>
          </cell>
          <cell r="AB428" t="str">
            <v>Coastal OHS Services Pty Ltd</v>
          </cell>
          <cell r="AC428" t="str">
            <v>Coastal OHS Services</v>
          </cell>
          <cell r="AD428" t="str">
            <v>57 136 902 166</v>
          </cell>
          <cell r="AE428" t="str">
            <v>Mr Everardus Johannes (Erik) Gunzel (Director)</v>
          </cell>
          <cell r="AF428" t="str">
            <v>127 The Round Drive</v>
          </cell>
          <cell r="AG428" t="str">
            <v>Avoca Beach</v>
          </cell>
          <cell r="AH428" t="str">
            <v>2251</v>
          </cell>
          <cell r="AP428" t="str">
            <v>No</v>
          </cell>
        </row>
        <row r="429">
          <cell r="K429">
            <v>1</v>
          </cell>
          <cell r="L429">
            <v>1</v>
          </cell>
          <cell r="M429">
            <v>1</v>
          </cell>
          <cell r="N429">
            <v>1</v>
          </cell>
          <cell r="O429">
            <v>1</v>
          </cell>
          <cell r="P429">
            <v>1</v>
          </cell>
          <cell r="Q429">
            <v>1</v>
          </cell>
          <cell r="R429">
            <v>1</v>
          </cell>
          <cell r="S429">
            <v>1</v>
          </cell>
          <cell r="T429" t="str">
            <v>RTO - Terminated by RTO</v>
          </cell>
          <cell r="AA429" t="str">
            <v>45968</v>
          </cell>
          <cell r="AB429" t="str">
            <v>Edmund Rice Education Australia Colleges LTD</v>
          </cell>
          <cell r="AC429" t="str">
            <v xml:space="preserve">  St Joseph’s Nudgee College</v>
          </cell>
          <cell r="AD429" t="str">
            <v>71 659 944 831</v>
          </cell>
          <cell r="AE429" t="str">
            <v>Mr Peter Fullagar (Principal); Mr Paul Doneley (Director)</v>
          </cell>
          <cell r="AF429" t="str">
            <v>2199 Sandgate Rd</v>
          </cell>
          <cell r="AG429" t="str">
            <v>Boondali</v>
          </cell>
          <cell r="AH429" t="str">
            <v>4034</v>
          </cell>
          <cell r="AP429" t="str">
            <v>Yes</v>
          </cell>
        </row>
        <row r="430">
          <cell r="K430">
            <v>1</v>
          </cell>
          <cell r="L430">
            <v>1</v>
          </cell>
          <cell r="M430">
            <v>1</v>
          </cell>
          <cell r="N430">
            <v>1</v>
          </cell>
          <cell r="O430">
            <v>1</v>
          </cell>
          <cell r="P430">
            <v>1</v>
          </cell>
          <cell r="Q430">
            <v>1</v>
          </cell>
          <cell r="R430">
            <v>1</v>
          </cell>
          <cell r="S430">
            <v>1</v>
          </cell>
          <cell r="T430" t="str">
            <v>RTO - Current - Application Approved</v>
          </cell>
          <cell r="AA430" t="str">
            <v>31252</v>
          </cell>
          <cell r="AB430" t="str">
            <v>Ballinger Training and Consultancy Pty Ltd</v>
          </cell>
          <cell r="AC430" t="str">
            <v>Ballinger Training and Consultancy</v>
          </cell>
          <cell r="AD430" t="str">
            <v>84 132 968 560</v>
          </cell>
          <cell r="AE430" t="str">
            <v>Mrs Simone Roos (CEO); Ms Andrea Fuller (Manager)</v>
          </cell>
          <cell r="AF430" t="str">
            <v>52- 54 Fearnley St</v>
          </cell>
          <cell r="AG430" t="str">
            <v>Portsmith</v>
          </cell>
          <cell r="AH430" t="str">
            <v>4884</v>
          </cell>
          <cell r="AP430" t="str">
            <v>No</v>
          </cell>
        </row>
        <row r="431"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R431">
            <v>1</v>
          </cell>
          <cell r="S431">
            <v>1</v>
          </cell>
          <cell r="T431" t="str">
            <v>RTO - Current - Application Approved</v>
          </cell>
          <cell r="AA431" t="str">
            <v>3399</v>
          </cell>
          <cell r="AB431" t="str">
            <v>ABC Licence Training Pty Ltd</v>
          </cell>
          <cell r="AC431" t="str">
            <v>ABC First Aid</v>
          </cell>
          <cell r="AD431" t="str">
            <v>43 080 057 923</v>
          </cell>
          <cell r="AE431" t="str">
            <v>Ms Susan Devlin (CEO); Ms Jodie Doyle (Compliance Officer)</v>
          </cell>
          <cell r="AF431" t="str">
            <v>242-246 Glenferrie Rd</v>
          </cell>
          <cell r="AG431" t="str">
            <v>Valvern</v>
          </cell>
          <cell r="AH431" t="str">
            <v>3144</v>
          </cell>
          <cell r="AP431" t="str">
            <v>No</v>
          </cell>
        </row>
        <row r="432"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R432">
            <v>1</v>
          </cell>
          <cell r="S432">
            <v>1</v>
          </cell>
          <cell r="T432" t="str">
            <v>RTO - Current - Application Approved</v>
          </cell>
          <cell r="AA432" t="str">
            <v>41072</v>
          </cell>
          <cell r="AB432" t="str">
            <v>National Courses Pty Ltd</v>
          </cell>
          <cell r="AC432" t="str">
            <v xml:space="preserve"> NATIONAL WHITE CARD COURSES</v>
          </cell>
          <cell r="AD432" t="str">
            <v>65 161 255 278</v>
          </cell>
          <cell r="AE432" t="str">
            <v>Samuel Bohr (CEO)</v>
          </cell>
          <cell r="AF432" t="str">
            <v>Unit 41, 61-89 Buckingham St</v>
          </cell>
          <cell r="AG432" t="str">
            <v>Surry Hills</v>
          </cell>
          <cell r="AH432" t="str">
            <v>2010</v>
          </cell>
          <cell r="AP432" t="str">
            <v>No</v>
          </cell>
        </row>
        <row r="433">
          <cell r="K433">
            <v>1</v>
          </cell>
          <cell r="L433">
            <v>1</v>
          </cell>
          <cell r="M433">
            <v>1</v>
          </cell>
          <cell r="N433">
            <v>1</v>
          </cell>
          <cell r="O433">
            <v>45223</v>
          </cell>
          <cell r="P433">
            <v>1</v>
          </cell>
          <cell r="Q433">
            <v>1</v>
          </cell>
          <cell r="R433">
            <v>1</v>
          </cell>
          <cell r="S433">
            <v>1</v>
          </cell>
          <cell r="T433" t="str">
            <v>RTO - Current - Application Approved</v>
          </cell>
          <cell r="AA433" t="str">
            <v>91330</v>
          </cell>
          <cell r="AB433" t="str">
            <v>Admire Workplace Safety Pty Ltd</v>
          </cell>
          <cell r="AC433" t="str">
            <v>Admire Workplace Safety Pty Ltd</v>
          </cell>
          <cell r="AD433" t="str">
            <v>32 122 821 381</v>
          </cell>
          <cell r="AE433" t="str">
            <v>Mr Daniel Collins (CEO); Mrs Toni Forest (Training Coordinator)</v>
          </cell>
          <cell r="AF433" t="str">
            <v>Level1, 300 Argyle St</v>
          </cell>
          <cell r="AG433" t="str">
            <v>Moss Vale</v>
          </cell>
          <cell r="AH433" t="str">
            <v>2577</v>
          </cell>
          <cell r="AP433" t="str">
            <v>No</v>
          </cell>
        </row>
        <row r="434"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 t="str">
            <v>RTO - Current - Application Approved</v>
          </cell>
          <cell r="AA434" t="str">
            <v>41410</v>
          </cell>
          <cell r="AB434" t="str">
            <v>Skills Network Australia Pty Ltd</v>
          </cell>
          <cell r="AC434" t="str">
            <v>Skills Network</v>
          </cell>
          <cell r="AD434" t="str">
            <v>59 295 436 077</v>
          </cell>
          <cell r="AE434" t="str">
            <v>Susan Devlin (CEO); Mrs Jodie Doyle (Administration officer)</v>
          </cell>
          <cell r="AF434" t="str">
            <v>305/ 66 Berry St</v>
          </cell>
          <cell r="AG434" t="str">
            <v>North Sydney</v>
          </cell>
          <cell r="AH434" t="str">
            <v>2060</v>
          </cell>
          <cell r="AP434" t="str">
            <v>No</v>
          </cell>
        </row>
        <row r="435"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 t="str">
            <v>RTO - Current - Application Approved</v>
          </cell>
          <cell r="AA435" t="str">
            <v>45970</v>
          </cell>
          <cell r="AB435" t="str">
            <v>Edmund Rice Education Australia Colleges LTD</v>
          </cell>
          <cell r="AC435" t="str">
            <v>St James College</v>
          </cell>
          <cell r="AD435" t="str">
            <v>71 659 944 831</v>
          </cell>
          <cell r="AE435" t="str">
            <v>M Ann Rebgetz (Principal); Mr Anthony Hill (RTO Manager)</v>
          </cell>
          <cell r="AF435" t="str">
            <v>201 Boundary Street</v>
          </cell>
          <cell r="AG435" t="str">
            <v>Spring Hill</v>
          </cell>
          <cell r="AH435" t="str">
            <v>4000</v>
          </cell>
          <cell r="AP435" t="str">
            <v>Yes</v>
          </cell>
        </row>
        <row r="436">
          <cell r="K436">
            <v>1</v>
          </cell>
          <cell r="L436">
            <v>1</v>
          </cell>
          <cell r="M436">
            <v>1</v>
          </cell>
          <cell r="N436">
            <v>1</v>
          </cell>
          <cell r="O436">
            <v>1</v>
          </cell>
          <cell r="P436">
            <v>1</v>
          </cell>
          <cell r="Q436">
            <v>1</v>
          </cell>
          <cell r="R436">
            <v>1</v>
          </cell>
          <cell r="S436">
            <v>1</v>
          </cell>
          <cell r="T436" t="str">
            <v>RTO - Current - Application Approved</v>
          </cell>
          <cell r="AA436" t="str">
            <v>30070</v>
          </cell>
          <cell r="AB436" t="str">
            <v>Kawana Waters State College</v>
          </cell>
          <cell r="AC436" t="str">
            <v>Kawana-Bokarina State College</v>
          </cell>
          <cell r="AD436" t="str">
            <v>40 648 940 804</v>
          </cell>
          <cell r="AE436" t="str">
            <v>Ms Chloe Brown (CEO); Ms Melania Colquhoun (HOD VET)</v>
          </cell>
          <cell r="AF436" t="str">
            <v>119 Sportsmans Parade</v>
          </cell>
          <cell r="AG436" t="str">
            <v>Bokarina</v>
          </cell>
          <cell r="AH436" t="str">
            <v>4575</v>
          </cell>
          <cell r="AP436" t="str">
            <v>Yes</v>
          </cell>
        </row>
        <row r="437">
          <cell r="K437">
            <v>1</v>
          </cell>
          <cell r="L437">
            <v>1</v>
          </cell>
          <cell r="M437">
            <v>1</v>
          </cell>
          <cell r="N437">
            <v>1</v>
          </cell>
          <cell r="O437">
            <v>1</v>
          </cell>
          <cell r="P437">
            <v>1</v>
          </cell>
          <cell r="Q437">
            <v>1</v>
          </cell>
          <cell r="R437">
            <v>1</v>
          </cell>
          <cell r="S437">
            <v>1</v>
          </cell>
          <cell r="T437" t="str">
            <v>RTO - Current - Application Approved</v>
          </cell>
          <cell r="AA437" t="str">
            <v>45830</v>
          </cell>
          <cell r="AB437" t="str">
            <v>Gladstone Area Group Apprentices Limited</v>
          </cell>
          <cell r="AC437" t="str">
            <v>Apprentices and Trainees Queensland</v>
          </cell>
          <cell r="AD437" t="str">
            <v>19 010 613 626</v>
          </cell>
          <cell r="AE437" t="str">
            <v>Mr Michael Walz (CEO); Mrs Angie Wilmot (Operations Manager)</v>
          </cell>
          <cell r="AF437" t="str">
            <v>26 Beckinsale St</v>
          </cell>
          <cell r="AG437" t="str">
            <v>Gladstone Central</v>
          </cell>
          <cell r="AH437" t="str">
            <v>4680</v>
          </cell>
          <cell r="AP437" t="str">
            <v>No</v>
          </cell>
        </row>
        <row r="438">
          <cell r="K438">
            <v>1</v>
          </cell>
          <cell r="L438">
            <v>1</v>
          </cell>
          <cell r="M438">
            <v>1</v>
          </cell>
          <cell r="N438">
            <v>1</v>
          </cell>
          <cell r="O438">
            <v>1</v>
          </cell>
          <cell r="P438">
            <v>1</v>
          </cell>
          <cell r="Q438">
            <v>1</v>
          </cell>
          <cell r="R438">
            <v>1</v>
          </cell>
          <cell r="S438">
            <v>1</v>
          </cell>
          <cell r="T438" t="str">
            <v>RTO - Current - Application Approved</v>
          </cell>
          <cell r="AA438" t="str">
            <v>31352</v>
          </cell>
          <cell r="AB438" t="str">
            <v>Ausintec Academy Pty Ltd</v>
          </cell>
          <cell r="AC438" t="str">
            <v>Ausintec Academy Pty Ltd</v>
          </cell>
          <cell r="AE438" t="str">
            <v>Glenys Cox (CEO); Steganie Nielsen (Office Manager)</v>
          </cell>
          <cell r="AF438" t="str">
            <v>392 Bribie Island Road</v>
          </cell>
          <cell r="AG438" t="str">
            <v>Caboolture</v>
          </cell>
          <cell r="AH438" t="str">
            <v>4510</v>
          </cell>
          <cell r="AP438" t="str">
            <v>No</v>
          </cell>
        </row>
        <row r="439">
          <cell r="K439">
            <v>1</v>
          </cell>
          <cell r="L439">
            <v>1</v>
          </cell>
          <cell r="M439">
            <v>1</v>
          </cell>
          <cell r="N439">
            <v>1</v>
          </cell>
          <cell r="O439">
            <v>1</v>
          </cell>
          <cell r="P439">
            <v>1</v>
          </cell>
          <cell r="Q439">
            <v>1</v>
          </cell>
          <cell r="R439">
            <v>1</v>
          </cell>
          <cell r="S439">
            <v>1</v>
          </cell>
          <cell r="T439" t="str">
            <v>RTO - Current - Application Approved</v>
          </cell>
          <cell r="AA439" t="str">
            <v>46100</v>
          </cell>
          <cell r="AB439" t="str">
            <v>Malcolm Ross Rook</v>
          </cell>
          <cell r="AC439" t="str">
            <v>Malcolm Ross Rook</v>
          </cell>
          <cell r="AD439" t="str">
            <v>81 606 702 468</v>
          </cell>
          <cell r="AE439" t="str">
            <v>Malcolm Rook (CEO); Leah Rook (Training Manager)</v>
          </cell>
          <cell r="AF439" t="str">
            <v>Dalby Training Centre, MYCNC Business Prescient, Corner of Nicholson &amp; Drayton St</v>
          </cell>
          <cell r="AG439" t="str">
            <v>Dalby</v>
          </cell>
          <cell r="AH439" t="str">
            <v>4405</v>
          </cell>
          <cell r="AP439" t="str">
            <v>No</v>
          </cell>
        </row>
        <row r="440">
          <cell r="K440">
            <v>1</v>
          </cell>
          <cell r="L440">
            <v>1</v>
          </cell>
          <cell r="M440">
            <v>1</v>
          </cell>
          <cell r="N440">
            <v>1</v>
          </cell>
          <cell r="O440">
            <v>1</v>
          </cell>
          <cell r="P440">
            <v>1</v>
          </cell>
          <cell r="Q440">
            <v>1</v>
          </cell>
          <cell r="R440">
            <v>1</v>
          </cell>
          <cell r="S440">
            <v>1</v>
          </cell>
          <cell r="T440" t="str">
            <v>RTO - Current - Application Approved</v>
          </cell>
          <cell r="AA440" t="str">
            <v>46306</v>
          </cell>
          <cell r="AB440" t="str">
            <v>St Joseph's Nudgee College</v>
          </cell>
          <cell r="AC440" t="str">
            <v>St Joseph's Nudgee College</v>
          </cell>
          <cell r="AE440" t="str">
            <v>Paul Doneley, CEO Scott Thomson</v>
          </cell>
          <cell r="AF440" t="str">
            <v>2199 Sandgate Rd</v>
          </cell>
          <cell r="AG440" t="str">
            <v>Boondall</v>
          </cell>
          <cell r="AH440" t="str">
            <v>4034</v>
          </cell>
          <cell r="AP440" t="str">
            <v>Yes</v>
          </cell>
        </row>
        <row r="441">
          <cell r="K441">
            <v>1</v>
          </cell>
          <cell r="L441">
            <v>1</v>
          </cell>
          <cell r="M441">
            <v>1</v>
          </cell>
          <cell r="N441">
            <v>1</v>
          </cell>
          <cell r="O441">
            <v>1</v>
          </cell>
          <cell r="P441">
            <v>1</v>
          </cell>
          <cell r="Q441">
            <v>1</v>
          </cell>
          <cell r="R441">
            <v>1</v>
          </cell>
          <cell r="S441">
            <v>1</v>
          </cell>
          <cell r="T441" t="str">
            <v>RTO - Application Received</v>
          </cell>
          <cell r="AA441" t="str">
            <v>41148</v>
          </cell>
          <cell r="AB441" t="str">
            <v>BRIGHTEN INSTITUTE AUSTRALIA PTY. LTD.</v>
          </cell>
          <cell r="AC441" t="str">
            <v xml:space="preserve">  N/A</v>
          </cell>
          <cell r="AD441" t="str">
            <v>73 603 367 095</v>
          </cell>
          <cell r="AE441" t="str">
            <v>Mrs. Catherine Nam (CEO); Mr Sam Thomas Richardson (RTO Manager)</v>
          </cell>
          <cell r="AF441" t="str">
            <v>Level 5 12-14 O'Connell St</v>
          </cell>
          <cell r="AG441" t="str">
            <v>Sydney</v>
          </cell>
          <cell r="AH441" t="str">
            <v>2000</v>
          </cell>
        </row>
        <row r="442">
          <cell r="K442">
            <v>1</v>
          </cell>
          <cell r="L442">
            <v>1</v>
          </cell>
          <cell r="M442">
            <v>1</v>
          </cell>
          <cell r="N442">
            <v>1</v>
          </cell>
          <cell r="O442">
            <v>1</v>
          </cell>
          <cell r="P442">
            <v>1</v>
          </cell>
          <cell r="Q442">
            <v>1</v>
          </cell>
          <cell r="R442">
            <v>1</v>
          </cell>
          <cell r="S442">
            <v>1</v>
          </cell>
          <cell r="T442" t="str">
            <v>RTO - Current - Application Approved</v>
          </cell>
          <cell r="AA442" t="str">
            <v>31982</v>
          </cell>
          <cell r="AB442" t="str">
            <v>SDS TRAINING AND SECURITY PTY LTD</v>
          </cell>
          <cell r="AC442" t="str">
            <v>PRIDE INSTITUTE</v>
          </cell>
          <cell r="AE442" t="str">
            <v>Iramma Anabast (CEO); Harpreet Kaur (Admin Officer)</v>
          </cell>
          <cell r="AF442" t="str">
            <v>7/3360 Pacific Highway</v>
          </cell>
          <cell r="AG442" t="str">
            <v>Springwood</v>
          </cell>
          <cell r="AH442" t="str">
            <v>4127</v>
          </cell>
        </row>
        <row r="443">
          <cell r="K443">
            <v>1</v>
          </cell>
          <cell r="L443">
            <v>1</v>
          </cell>
          <cell r="M443">
            <v>1</v>
          </cell>
          <cell r="N443">
            <v>1</v>
          </cell>
          <cell r="O443">
            <v>1</v>
          </cell>
          <cell r="P443">
            <v>1</v>
          </cell>
          <cell r="Q443">
            <v>1</v>
          </cell>
          <cell r="R443">
            <v>1</v>
          </cell>
          <cell r="S443">
            <v>1</v>
          </cell>
          <cell r="T443" t="str">
            <v>RTO - Application Received</v>
          </cell>
          <cell r="AA443" t="str">
            <v>31908</v>
          </cell>
          <cell r="AB443" t="str">
            <v>James Technologies (Training) Pty Ltd</v>
          </cell>
          <cell r="AC443" t="str">
            <v xml:space="preserve">  James Technologies (Training) Pty Ltd</v>
          </cell>
          <cell r="AD443" t="str">
            <v>51 135 411 728</v>
          </cell>
          <cell r="AE443" t="str">
            <v>Mr. Darren Caulfield (Director), Ms. Pamela Caulfield (Office Manager)</v>
          </cell>
          <cell r="AF443" t="str">
            <v>282 HOTHAM CREEK RD</v>
          </cell>
          <cell r="AG443" t="str">
            <v>Willow Vale</v>
          </cell>
          <cell r="AH443" t="str">
            <v>4209</v>
          </cell>
        </row>
        <row r="444">
          <cell r="K444">
            <v>1</v>
          </cell>
          <cell r="L444">
            <v>1</v>
          </cell>
          <cell r="M444">
            <v>1</v>
          </cell>
          <cell r="N444">
            <v>1</v>
          </cell>
          <cell r="O444">
            <v>1</v>
          </cell>
          <cell r="P444">
            <v>1</v>
          </cell>
          <cell r="Q444">
            <v>1</v>
          </cell>
          <cell r="R444">
            <v>1</v>
          </cell>
          <cell r="S444">
            <v>1</v>
          </cell>
          <cell r="T444" t="str">
            <v>RTO - Application Withdrawn</v>
          </cell>
          <cell r="AA444" t="str">
            <v>45868</v>
          </cell>
          <cell r="AB444" t="str">
            <v>Mining Skills Australia Pty Ltd</v>
          </cell>
          <cell r="AC444" t="str">
            <v>Mining Skills Australia Pty Ltd</v>
          </cell>
          <cell r="AE444" t="str">
            <v>Graeme Bradshaw (CEO); Lizzie Tafilipepe (Manager)</v>
          </cell>
          <cell r="AF444" t="str">
            <v>Level 7, 26 Wharf Street</v>
          </cell>
          <cell r="AG444" t="str">
            <v>Brisbane City</v>
          </cell>
          <cell r="AH444" t="str">
            <v>4000</v>
          </cell>
        </row>
        <row r="445">
          <cell r="K445">
            <v>1</v>
          </cell>
          <cell r="L445">
            <v>1</v>
          </cell>
          <cell r="M445">
            <v>1</v>
          </cell>
          <cell r="N445">
            <v>1</v>
          </cell>
          <cell r="O445">
            <v>1</v>
          </cell>
          <cell r="P445">
            <v>1</v>
          </cell>
          <cell r="Q445">
            <v>1</v>
          </cell>
          <cell r="R445">
            <v>1</v>
          </cell>
          <cell r="S445">
            <v>1</v>
          </cell>
          <cell r="T445" t="str">
            <v>RTO - Application in Review</v>
          </cell>
          <cell r="AA445" t="str">
            <v>41496</v>
          </cell>
          <cell r="AB445" t="str">
            <v>Victorian Institute of Applied Learning Pty Ltd</v>
          </cell>
          <cell r="AC445" t="str">
            <v>Humber College</v>
          </cell>
          <cell r="AE445" t="str">
            <v>Puneet Randhawa (CEO); Sarbjit Singh (Manager)</v>
          </cell>
          <cell r="AF445" t="str">
            <v>1/25 Randall Street</v>
          </cell>
          <cell r="AG445" t="str">
            <v>Slacks Creek</v>
          </cell>
          <cell r="AH445" t="str">
            <v>4127</v>
          </cell>
        </row>
        <row r="446">
          <cell r="K446">
            <v>1</v>
          </cell>
          <cell r="L446">
            <v>1</v>
          </cell>
          <cell r="M446">
            <v>1</v>
          </cell>
          <cell r="N446">
            <v>1</v>
          </cell>
          <cell r="O446">
            <v>1</v>
          </cell>
          <cell r="P446">
            <v>1</v>
          </cell>
          <cell r="Q446">
            <v>1</v>
          </cell>
          <cell r="R446">
            <v>1</v>
          </cell>
          <cell r="S446">
            <v>1</v>
          </cell>
          <cell r="T446" t="str">
            <v>RTO - Current - Application Approved</v>
          </cell>
          <cell r="AA446" t="str">
            <v>41469</v>
          </cell>
          <cell r="AB446" t="str">
            <v>VICTORIAN INSTITUTE OF APPLIED LEARNING PTY LTD</v>
          </cell>
          <cell r="AC446" t="str">
            <v>Humber College</v>
          </cell>
          <cell r="AE446" t="str">
            <v>Puneet Randhawa (CEO); Sarbjit Singh (Manager)</v>
          </cell>
          <cell r="AF446" t="str">
            <v>1/25 Randall Street</v>
          </cell>
          <cell r="AG446" t="str">
            <v>Slacks Creek</v>
          </cell>
          <cell r="AH446" t="str">
            <v>4127</v>
          </cell>
          <cell r="AP446" t="str">
            <v>No</v>
          </cell>
        </row>
        <row r="447">
          <cell r="K447">
            <v>1</v>
          </cell>
          <cell r="L447">
            <v>1</v>
          </cell>
          <cell r="M447">
            <v>1</v>
          </cell>
          <cell r="N447">
            <v>1</v>
          </cell>
          <cell r="O447">
            <v>1</v>
          </cell>
          <cell r="P447">
            <v>1</v>
          </cell>
          <cell r="Q447">
            <v>1</v>
          </cell>
          <cell r="R447">
            <v>1</v>
          </cell>
          <cell r="S447">
            <v>1</v>
          </cell>
          <cell r="T447" t="str">
            <v>RTO - Current - Application Approved</v>
          </cell>
          <cell r="AA447" t="str">
            <v>45723</v>
          </cell>
          <cell r="AB447" t="str">
            <v>First Aid in Cairns PTY LTD</v>
          </cell>
          <cell r="AC447" t="str">
            <v>First Aid in Cairns PTY LTD</v>
          </cell>
          <cell r="AE447" t="str">
            <v>Wayne Christiansen (CEO); Jacquelyn Macouley-Knowles (Manager)</v>
          </cell>
          <cell r="AF447" t="str">
            <v>Shop 31 Campus Shopping Village, 5-21 Faculty Close</v>
          </cell>
          <cell r="AG447" t="str">
            <v>Smithfield</v>
          </cell>
          <cell r="AH447" t="str">
            <v>4878</v>
          </cell>
        </row>
        <row r="448"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 t="str">
            <v>RTO - Current - Application Approved</v>
          </cell>
          <cell r="AA448" t="str">
            <v>30258</v>
          </cell>
          <cell r="AB448" t="str">
            <v>Centenary Heights State High School</v>
          </cell>
          <cell r="AC448" t="str">
            <v>Centenary Heights State High School</v>
          </cell>
          <cell r="AE448" t="str">
            <v>Dan Lindenmayer (principal); Dave McMillan (Manager)</v>
          </cell>
          <cell r="AF448" t="str">
            <v>60 Ramsay Street</v>
          </cell>
          <cell r="AG448" t="str">
            <v>Centenary Heights</v>
          </cell>
          <cell r="AH448" t="str">
            <v>4350</v>
          </cell>
          <cell r="AP448" t="str">
            <v>Yes</v>
          </cell>
        </row>
        <row r="449">
          <cell r="K449">
            <v>1</v>
          </cell>
          <cell r="L449">
            <v>1</v>
          </cell>
          <cell r="M449">
            <v>1</v>
          </cell>
          <cell r="N449">
            <v>1</v>
          </cell>
          <cell r="O449">
            <v>1</v>
          </cell>
          <cell r="P449">
            <v>1</v>
          </cell>
          <cell r="Q449">
            <v>1</v>
          </cell>
          <cell r="R449">
            <v>1</v>
          </cell>
          <cell r="S449">
            <v>1</v>
          </cell>
          <cell r="T449" t="str">
            <v>RTO - Current - Application Approved</v>
          </cell>
          <cell r="AA449" t="str">
            <v>41418</v>
          </cell>
          <cell r="AB449" t="str">
            <v>AVENTIA INSTITUTE PTY LTD</v>
          </cell>
          <cell r="AC449" t="str">
            <v>Aventia Institute</v>
          </cell>
          <cell r="AD449" t="str">
            <v>47 603 908 005</v>
          </cell>
          <cell r="AE449" t="str">
            <v>Amarpreet Kaur Virk (CEO); Sofia Gray (Manager)</v>
          </cell>
          <cell r="AF449" t="str">
            <v>Level 3, 57 Sanders Street</v>
          </cell>
          <cell r="AG449" t="str">
            <v>Upper Mount Gravatt</v>
          </cell>
          <cell r="AH449" t="str">
            <v>4122</v>
          </cell>
          <cell r="AP449" t="str">
            <v>No</v>
          </cell>
        </row>
        <row r="450">
          <cell r="K450">
            <v>1</v>
          </cell>
          <cell r="L450">
            <v>1</v>
          </cell>
          <cell r="M450">
            <v>1</v>
          </cell>
          <cell r="N450">
            <v>1</v>
          </cell>
          <cell r="O450">
            <v>1</v>
          </cell>
          <cell r="P450">
            <v>1</v>
          </cell>
          <cell r="Q450">
            <v>1</v>
          </cell>
          <cell r="R450">
            <v>1</v>
          </cell>
          <cell r="S450">
            <v>1</v>
          </cell>
          <cell r="T450" t="str">
            <v>RTO - Current - Application Approved</v>
          </cell>
          <cell r="AA450" t="str">
            <v>41176</v>
          </cell>
          <cell r="AB450" t="str">
            <v>Yakka Training Services Pty Ltd</v>
          </cell>
          <cell r="AC450" t="str">
            <v>Yakka Training</v>
          </cell>
          <cell r="AD450" t="str">
            <v>59 168 534 754</v>
          </cell>
          <cell r="AE450" t="str">
            <v>Joel Thompson (CEO); Melanie Gregor (GM)</v>
          </cell>
          <cell r="AF450" t="str">
            <v>460-492 Beaudesert Road</v>
          </cell>
          <cell r="AG450" t="str">
            <v>Salisbury</v>
          </cell>
          <cell r="AH450" t="str">
            <v>4107</v>
          </cell>
          <cell r="AP450" t="str">
            <v>No</v>
          </cell>
        </row>
        <row r="451">
          <cell r="K451">
            <v>1</v>
          </cell>
          <cell r="L451">
            <v>1</v>
          </cell>
          <cell r="M451">
            <v>1</v>
          </cell>
          <cell r="N451">
            <v>1</v>
          </cell>
          <cell r="O451">
            <v>1</v>
          </cell>
          <cell r="P451">
            <v>1</v>
          </cell>
          <cell r="Q451">
            <v>1</v>
          </cell>
          <cell r="R451">
            <v>1</v>
          </cell>
          <cell r="S451">
            <v>1</v>
          </cell>
          <cell r="T451" t="str">
            <v>RTO - Current - Application Approved</v>
          </cell>
          <cell r="AA451" t="str">
            <v>52811</v>
          </cell>
          <cell r="AB451" t="str">
            <v>Streamline Training Group Pty Ltd</v>
          </cell>
          <cell r="AC451" t="str">
            <v>Streamline Training</v>
          </cell>
          <cell r="AE451" t="str">
            <v>Kim Mitchell (CEO)</v>
          </cell>
          <cell r="AF451" t="str">
            <v>63 Eigth Avenue</v>
          </cell>
          <cell r="AG451" t="str">
            <v>Maylards</v>
          </cell>
          <cell r="AH451" t="str">
            <v>6051</v>
          </cell>
          <cell r="AP451" t="str">
            <v>No</v>
          </cell>
        </row>
        <row r="452">
          <cell r="K452">
            <v>1</v>
          </cell>
          <cell r="L452">
            <v>1</v>
          </cell>
          <cell r="M452">
            <v>1</v>
          </cell>
          <cell r="N452">
            <v>1</v>
          </cell>
          <cell r="O452">
            <v>1</v>
          </cell>
          <cell r="P452">
            <v>1</v>
          </cell>
          <cell r="Q452">
            <v>1</v>
          </cell>
          <cell r="R452">
            <v>1</v>
          </cell>
          <cell r="S452">
            <v>1</v>
          </cell>
          <cell r="T452" t="str">
            <v>RTO - Current - Application Approved</v>
          </cell>
          <cell r="AA452" t="str">
            <v>45914</v>
          </cell>
          <cell r="AB452" t="str">
            <v>Salus Group Pty Ltd</v>
          </cell>
          <cell r="AC452" t="str">
            <v>Salus Group Academy</v>
          </cell>
          <cell r="AD452" t="str">
            <v>36 626 805 052</v>
          </cell>
          <cell r="AE452" t="str">
            <v>Grant Geddes (CEO); Dan Mclennan (Manager)</v>
          </cell>
          <cell r="AF452" t="str">
            <v>82 Burrows Street</v>
          </cell>
          <cell r="AG452" t="str">
            <v>Wondai</v>
          </cell>
          <cell r="AH452" t="str">
            <v>4606</v>
          </cell>
          <cell r="AP452" t="str">
            <v>No</v>
          </cell>
        </row>
        <row r="453">
          <cell r="K453">
            <v>1</v>
          </cell>
          <cell r="L453">
            <v>1</v>
          </cell>
          <cell r="M453">
            <v>1</v>
          </cell>
          <cell r="N453">
            <v>1</v>
          </cell>
          <cell r="O453">
            <v>45803</v>
          </cell>
          <cell r="P453">
            <v>1</v>
          </cell>
          <cell r="Q453">
            <v>1</v>
          </cell>
          <cell r="R453">
            <v>1</v>
          </cell>
          <cell r="S453">
            <v>1</v>
          </cell>
          <cell r="T453" t="str">
            <v>RTO - Current - Application Approved</v>
          </cell>
          <cell r="AA453" t="str">
            <v>46244</v>
          </cell>
          <cell r="AB453" t="str">
            <v>The Careers Academy</v>
          </cell>
          <cell r="AC453" t="str">
            <v>The Careers Academy</v>
          </cell>
          <cell r="AD453" t="str">
            <v>92 669 472 502</v>
          </cell>
          <cell r="AE453" t="str">
            <v>Salahuddin Dannoun (CEO)</v>
          </cell>
          <cell r="AF453" t="str">
            <v>975 Canterbury Road</v>
          </cell>
          <cell r="AG453" t="str">
            <v>Lakemba</v>
          </cell>
          <cell r="AH453" t="str">
            <v>2199</v>
          </cell>
          <cell r="AP453" t="str">
            <v>No</v>
          </cell>
        </row>
        <row r="454">
          <cell r="K454">
            <v>1</v>
          </cell>
          <cell r="L454">
            <v>1</v>
          </cell>
          <cell r="M454">
            <v>1</v>
          </cell>
          <cell r="N454">
            <v>1</v>
          </cell>
          <cell r="O454">
            <v>1</v>
          </cell>
          <cell r="P454">
            <v>1</v>
          </cell>
          <cell r="Q454">
            <v>1</v>
          </cell>
          <cell r="R454">
            <v>1</v>
          </cell>
          <cell r="S454">
            <v>1</v>
          </cell>
          <cell r="T454" t="str">
            <v>RTO - Current - Application Approved</v>
          </cell>
          <cell r="AA454" t="str">
            <v>30144</v>
          </cell>
          <cell r="AB454" t="str">
            <v>North Rockhampton State High School</v>
          </cell>
          <cell r="AC454" t="str">
            <v>North Rockhampton State High School</v>
          </cell>
          <cell r="AD454" t="str">
            <v>21 652 463 392</v>
          </cell>
          <cell r="AE454" t="str">
            <v>Kurt Goodwin (Principal); Bronwyn Fechner (HOD/Manager)</v>
          </cell>
          <cell r="AF454" t="str">
            <v>302-328 Beserker Street</v>
          </cell>
          <cell r="AG454" t="str">
            <v>Berserker</v>
          </cell>
          <cell r="AH454" t="str">
            <v>4701</v>
          </cell>
          <cell r="AP454" t="str">
            <v>Yes</v>
          </cell>
        </row>
        <row r="455">
          <cell r="K455">
            <v>1</v>
          </cell>
          <cell r="L455">
            <v>1</v>
          </cell>
          <cell r="M455">
            <v>1</v>
          </cell>
          <cell r="N455">
            <v>1</v>
          </cell>
          <cell r="O455">
            <v>1</v>
          </cell>
          <cell r="P455">
            <v>1</v>
          </cell>
          <cell r="Q455">
            <v>1</v>
          </cell>
          <cell r="R455">
            <v>1</v>
          </cell>
          <cell r="S455">
            <v>1</v>
          </cell>
          <cell r="T455" t="str">
            <v>RTO - Current - Application Approved</v>
          </cell>
          <cell r="AA455" t="str">
            <v>45778</v>
          </cell>
          <cell r="AB455" t="str">
            <v>EM Hauri Pty Ltd t/a EMH Industries &amp; World Tec College</v>
          </cell>
          <cell r="AC455" t="str">
            <v>EMH Industries &amp; World Tec College</v>
          </cell>
          <cell r="AE455" t="str">
            <v>Min Hauri (CEO); Mark Taylor (manager)</v>
          </cell>
          <cell r="AF455" t="str">
            <v>7/20 Crescent Street</v>
          </cell>
          <cell r="AG455" t="str">
            <v>Holroyd</v>
          </cell>
          <cell r="AH455" t="str">
            <v>2142</v>
          </cell>
          <cell r="AP455" t="str">
            <v>No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aining.gov.au/Organisation/Details/40496" TargetMode="External"/><Relationship Id="rId21" Type="http://schemas.openxmlformats.org/officeDocument/2006/relationships/hyperlink" Target="https://training.gov.au/Organisation/Details/30058" TargetMode="External"/><Relationship Id="rId42" Type="http://schemas.openxmlformats.org/officeDocument/2006/relationships/hyperlink" Target="https://training.gov.au/Organisation/Details/31116" TargetMode="External"/><Relationship Id="rId63" Type="http://schemas.openxmlformats.org/officeDocument/2006/relationships/hyperlink" Target="https://training.gov.au/Organisation/Details/31472" TargetMode="External"/><Relationship Id="rId84" Type="http://schemas.openxmlformats.org/officeDocument/2006/relationships/hyperlink" Target="https://training.gov.au/Organisation/Details/31973" TargetMode="External"/><Relationship Id="rId138" Type="http://schemas.openxmlformats.org/officeDocument/2006/relationships/hyperlink" Target="https://training.gov.au/Organisation/Details/40939" TargetMode="External"/><Relationship Id="rId159" Type="http://schemas.openxmlformats.org/officeDocument/2006/relationships/hyperlink" Target="https://training.gov.au/Organisation/Details/41469" TargetMode="External"/><Relationship Id="rId170" Type="http://schemas.openxmlformats.org/officeDocument/2006/relationships/hyperlink" Target="https://training.gov.au/Organisation/Details/45281" TargetMode="External"/><Relationship Id="rId191" Type="http://schemas.openxmlformats.org/officeDocument/2006/relationships/hyperlink" Target="https://training.gov.au/organisation/details/45914/summary" TargetMode="External"/><Relationship Id="rId205" Type="http://schemas.openxmlformats.org/officeDocument/2006/relationships/hyperlink" Target="https://training.gov.au/Organisation/Details/6139" TargetMode="External"/><Relationship Id="rId226" Type="http://schemas.openxmlformats.org/officeDocument/2006/relationships/hyperlink" Target="https://training.gov.au/Organisation/Details/91826" TargetMode="External"/><Relationship Id="rId107" Type="http://schemas.openxmlformats.org/officeDocument/2006/relationships/hyperlink" Target="https://training.gov.au/Organisation/Details/32461" TargetMode="External"/><Relationship Id="rId11" Type="http://schemas.openxmlformats.org/officeDocument/2006/relationships/hyperlink" Target="https://training.gov.au/Organisation/Details/140100" TargetMode="External"/><Relationship Id="rId32" Type="http://schemas.openxmlformats.org/officeDocument/2006/relationships/hyperlink" Target="https://training.gov.au/Organisation/Details/30337" TargetMode="External"/><Relationship Id="rId53" Type="http://schemas.openxmlformats.org/officeDocument/2006/relationships/hyperlink" Target="https://training.gov.au/Organisation/Details/31092" TargetMode="External"/><Relationship Id="rId74" Type="http://schemas.openxmlformats.org/officeDocument/2006/relationships/hyperlink" Target="https://training.gov.au/Organisation/Details/31731" TargetMode="External"/><Relationship Id="rId128" Type="http://schemas.openxmlformats.org/officeDocument/2006/relationships/hyperlink" Target="https://training.gov.au/Organisation/Details/40817" TargetMode="External"/><Relationship Id="rId149" Type="http://schemas.openxmlformats.org/officeDocument/2006/relationships/hyperlink" Target="https://training.gov.au/Organisation/Details/41288" TargetMode="External"/><Relationship Id="rId5" Type="http://schemas.openxmlformats.org/officeDocument/2006/relationships/hyperlink" Target="https://training.gov.au/Organisation/Details/0686" TargetMode="External"/><Relationship Id="rId95" Type="http://schemas.openxmlformats.org/officeDocument/2006/relationships/hyperlink" Target="https://training.gov.au/Organisation/Details/32292" TargetMode="External"/><Relationship Id="rId160" Type="http://schemas.openxmlformats.org/officeDocument/2006/relationships/hyperlink" Target="https://training.gov.au/Organisation/Details/41488" TargetMode="External"/><Relationship Id="rId181" Type="http://schemas.openxmlformats.org/officeDocument/2006/relationships/hyperlink" Target="https://training.gov.au/Organisation/Details/45608" TargetMode="External"/><Relationship Id="rId216" Type="http://schemas.openxmlformats.org/officeDocument/2006/relationships/hyperlink" Target="https://training.gov.au/Organisation/Details/91330" TargetMode="External"/><Relationship Id="rId22" Type="http://schemas.openxmlformats.org/officeDocument/2006/relationships/hyperlink" Target="https://training.gov.au/Organisation/Details/30070" TargetMode="External"/><Relationship Id="rId43" Type="http://schemas.openxmlformats.org/officeDocument/2006/relationships/hyperlink" Target="https://training.gov.au/Organisation/Details/31167" TargetMode="External"/><Relationship Id="rId64" Type="http://schemas.openxmlformats.org/officeDocument/2006/relationships/hyperlink" Target="https://training.gov.au/Organisation/Details/31494" TargetMode="External"/><Relationship Id="rId118" Type="http://schemas.openxmlformats.org/officeDocument/2006/relationships/hyperlink" Target="https://training.gov.au/Organisation/Details/40515" TargetMode="External"/><Relationship Id="rId139" Type="http://schemas.openxmlformats.org/officeDocument/2006/relationships/hyperlink" Target="https://training.gov.au/Organisation/Details/40973" TargetMode="External"/><Relationship Id="rId85" Type="http://schemas.openxmlformats.org/officeDocument/2006/relationships/hyperlink" Target="https://training.gov.au/Organisation/Details/31982" TargetMode="External"/><Relationship Id="rId150" Type="http://schemas.openxmlformats.org/officeDocument/2006/relationships/hyperlink" Target="https://training.gov.au/Organisation/Details/41304" TargetMode="External"/><Relationship Id="rId171" Type="http://schemas.openxmlformats.org/officeDocument/2006/relationships/hyperlink" Target="https://training.gov.au/Organisation/Details/45310" TargetMode="External"/><Relationship Id="rId192" Type="http://schemas.openxmlformats.org/officeDocument/2006/relationships/hyperlink" Target="https://training.gov.au/Organisation/Details/45970" TargetMode="External"/><Relationship Id="rId206" Type="http://schemas.openxmlformats.org/officeDocument/2006/relationships/hyperlink" Target="https://training.gov.au/Organisation/Details/6491" TargetMode="External"/><Relationship Id="rId12" Type="http://schemas.openxmlformats.org/officeDocument/2006/relationships/hyperlink" Target="https://training.gov.au/Organisation/Details/1607" TargetMode="External"/><Relationship Id="rId33" Type="http://schemas.openxmlformats.org/officeDocument/2006/relationships/hyperlink" Target="https://training.gov.au/Organisation/Details/30380" TargetMode="External"/><Relationship Id="rId108" Type="http://schemas.openxmlformats.org/officeDocument/2006/relationships/hyperlink" Target="https://training.gov.au/Organisation/Details/32485" TargetMode="External"/><Relationship Id="rId129" Type="http://schemas.openxmlformats.org/officeDocument/2006/relationships/hyperlink" Target="https://training.gov.au/Organisation/Details/40840" TargetMode="External"/><Relationship Id="rId54" Type="http://schemas.openxmlformats.org/officeDocument/2006/relationships/hyperlink" Target="https://training.gov.au/Organisation/Details/31160" TargetMode="External"/><Relationship Id="rId75" Type="http://schemas.openxmlformats.org/officeDocument/2006/relationships/hyperlink" Target="https://training.gov.au/Organisation/Details/31733" TargetMode="External"/><Relationship Id="rId96" Type="http://schemas.openxmlformats.org/officeDocument/2006/relationships/hyperlink" Target="https://training.gov.au/Organisation/Details/32295" TargetMode="External"/><Relationship Id="rId140" Type="http://schemas.openxmlformats.org/officeDocument/2006/relationships/hyperlink" Target="https://training.gov.au/Organisation/Details/41010" TargetMode="External"/><Relationship Id="rId161" Type="http://schemas.openxmlformats.org/officeDocument/2006/relationships/hyperlink" Target="https://training.gov.au/Organisation/Details/41492" TargetMode="External"/><Relationship Id="rId182" Type="http://schemas.openxmlformats.org/officeDocument/2006/relationships/hyperlink" Target="https://training.gov.au/Organisation/Details/45656" TargetMode="External"/><Relationship Id="rId217" Type="http://schemas.openxmlformats.org/officeDocument/2006/relationships/hyperlink" Target="https://training.gov.au/Organisation/Details/91401" TargetMode="External"/><Relationship Id="rId6" Type="http://schemas.openxmlformats.org/officeDocument/2006/relationships/hyperlink" Target="https://training.gov.au/Organisation/Details/0699" TargetMode="External"/><Relationship Id="rId23" Type="http://schemas.openxmlformats.org/officeDocument/2006/relationships/hyperlink" Target="https://training.gov.au/Organisation/Details/30097" TargetMode="External"/><Relationship Id="rId119" Type="http://schemas.openxmlformats.org/officeDocument/2006/relationships/hyperlink" Target="https://training.gov.au/Organisation/Details/40521" TargetMode="External"/><Relationship Id="rId44" Type="http://schemas.openxmlformats.org/officeDocument/2006/relationships/hyperlink" Target="https://training.gov.au/Organisation/Details/31178" TargetMode="External"/><Relationship Id="rId65" Type="http://schemas.openxmlformats.org/officeDocument/2006/relationships/hyperlink" Target="https://training.gov.au/Organisation/Details/31522" TargetMode="External"/><Relationship Id="rId86" Type="http://schemas.openxmlformats.org/officeDocument/2006/relationships/hyperlink" Target="https://training.gov.au/Organisation/Details/31996" TargetMode="External"/><Relationship Id="rId130" Type="http://schemas.openxmlformats.org/officeDocument/2006/relationships/hyperlink" Target="https://training.gov.au/Organisation/Details/40871" TargetMode="External"/><Relationship Id="rId151" Type="http://schemas.openxmlformats.org/officeDocument/2006/relationships/hyperlink" Target="https://training.gov.au/Organisation/Details/41315" TargetMode="External"/><Relationship Id="rId172" Type="http://schemas.openxmlformats.org/officeDocument/2006/relationships/hyperlink" Target="https://training.gov.au/Organisation/Details/45370" TargetMode="External"/><Relationship Id="rId193" Type="http://schemas.openxmlformats.org/officeDocument/2006/relationships/hyperlink" Target="https://training.gov.au/Organisation/Details/46100" TargetMode="External"/><Relationship Id="rId207" Type="http://schemas.openxmlformats.org/officeDocument/2006/relationships/hyperlink" Target="https://training.gov.au/Organisation/Details/6859" TargetMode="External"/><Relationship Id="rId13" Type="http://schemas.openxmlformats.org/officeDocument/2006/relationships/hyperlink" Target="https://training.gov.au/Organisation/Details/1709" TargetMode="External"/><Relationship Id="rId109" Type="http://schemas.openxmlformats.org/officeDocument/2006/relationships/hyperlink" Target="https://training.gov.au/Organisation/Details/32505" TargetMode="External"/><Relationship Id="rId34" Type="http://schemas.openxmlformats.org/officeDocument/2006/relationships/hyperlink" Target="https://training.gov.au/Organisation/Details/30387" TargetMode="External"/><Relationship Id="rId55" Type="http://schemas.openxmlformats.org/officeDocument/2006/relationships/hyperlink" Target="https://training.gov.au/Organisation/Details/31175" TargetMode="External"/><Relationship Id="rId76" Type="http://schemas.openxmlformats.org/officeDocument/2006/relationships/hyperlink" Target="https://training.gov.au/Organisation/Details/31822" TargetMode="External"/><Relationship Id="rId97" Type="http://schemas.openxmlformats.org/officeDocument/2006/relationships/hyperlink" Target="https://training.gov.au/Organisation/Details/32299" TargetMode="External"/><Relationship Id="rId120" Type="http://schemas.openxmlformats.org/officeDocument/2006/relationships/hyperlink" Target="https://training.gov.au/Organisation/Details/40554" TargetMode="External"/><Relationship Id="rId141" Type="http://schemas.openxmlformats.org/officeDocument/2006/relationships/hyperlink" Target="https://training.gov.au/Organisation/Details/41072" TargetMode="External"/><Relationship Id="rId7" Type="http://schemas.openxmlformats.org/officeDocument/2006/relationships/hyperlink" Target="https://training.gov.au/Organisation/Details/0709" TargetMode="External"/><Relationship Id="rId162" Type="http://schemas.openxmlformats.org/officeDocument/2006/relationships/hyperlink" Target="https://training.gov.au/Organisation/Details/41551" TargetMode="External"/><Relationship Id="rId183" Type="http://schemas.openxmlformats.org/officeDocument/2006/relationships/hyperlink" Target="https://training.gov.au/Organisation/Details/45671" TargetMode="External"/><Relationship Id="rId218" Type="http://schemas.openxmlformats.org/officeDocument/2006/relationships/hyperlink" Target="https://training.gov.au/Organisation/Details/91413" TargetMode="External"/><Relationship Id="rId24" Type="http://schemas.openxmlformats.org/officeDocument/2006/relationships/hyperlink" Target="https://training.gov.au/Organisation/Details/30118" TargetMode="External"/><Relationship Id="rId45" Type="http://schemas.openxmlformats.org/officeDocument/2006/relationships/hyperlink" Target="https://training.gov.au/Organisation/Details/31198" TargetMode="External"/><Relationship Id="rId66" Type="http://schemas.openxmlformats.org/officeDocument/2006/relationships/hyperlink" Target="https://training.gov.au/Organisation/Details/31541" TargetMode="External"/><Relationship Id="rId87" Type="http://schemas.openxmlformats.org/officeDocument/2006/relationships/hyperlink" Target="https://training.gov.au/Organisation/Details/32052" TargetMode="External"/><Relationship Id="rId110" Type="http://schemas.openxmlformats.org/officeDocument/2006/relationships/hyperlink" Target="https://training.gov.au/Organisation/Details/32507" TargetMode="External"/><Relationship Id="rId131" Type="http://schemas.openxmlformats.org/officeDocument/2006/relationships/hyperlink" Target="https://training.gov.au/Organisation/Details/40889" TargetMode="External"/><Relationship Id="rId152" Type="http://schemas.openxmlformats.org/officeDocument/2006/relationships/hyperlink" Target="https://training.gov.au/Organisation/Details/41345" TargetMode="External"/><Relationship Id="rId173" Type="http://schemas.openxmlformats.org/officeDocument/2006/relationships/hyperlink" Target="https://training.gov.au/Organisation/Details/45416" TargetMode="External"/><Relationship Id="rId194" Type="http://schemas.openxmlformats.org/officeDocument/2006/relationships/hyperlink" Target="https://training.gov.au/Organisation/Details/4612" TargetMode="External"/><Relationship Id="rId208" Type="http://schemas.openxmlformats.org/officeDocument/2006/relationships/hyperlink" Target="https://training.gov.au/Organisation/Details/70023" TargetMode="External"/><Relationship Id="rId14" Type="http://schemas.openxmlformats.org/officeDocument/2006/relationships/hyperlink" Target="https://training.gov.au/Organisation/Details/1826" TargetMode="External"/><Relationship Id="rId35" Type="http://schemas.openxmlformats.org/officeDocument/2006/relationships/hyperlink" Target="https://training.gov.au/Organisation/Details/30390" TargetMode="External"/><Relationship Id="rId56" Type="http://schemas.openxmlformats.org/officeDocument/2006/relationships/hyperlink" Target="https://training.gov.au/Organisation/Details/31193" TargetMode="External"/><Relationship Id="rId77" Type="http://schemas.openxmlformats.org/officeDocument/2006/relationships/hyperlink" Target="https://training.gov.au/Organisation/Details/31888" TargetMode="External"/><Relationship Id="rId100" Type="http://schemas.openxmlformats.org/officeDocument/2006/relationships/hyperlink" Target="https://training.gov.au/Organisation/Details/32376" TargetMode="External"/><Relationship Id="rId8" Type="http://schemas.openxmlformats.org/officeDocument/2006/relationships/hyperlink" Target="https://training.gov.au/Organisation/Details/1044" TargetMode="External"/><Relationship Id="rId98" Type="http://schemas.openxmlformats.org/officeDocument/2006/relationships/hyperlink" Target="https://training.gov.au/Organisation/Details/32328" TargetMode="External"/><Relationship Id="rId121" Type="http://schemas.openxmlformats.org/officeDocument/2006/relationships/hyperlink" Target="https://training.gov.au/Organisation/Details/40592" TargetMode="External"/><Relationship Id="rId142" Type="http://schemas.openxmlformats.org/officeDocument/2006/relationships/hyperlink" Target="https://training.gov.au/Organisation/Details/41096" TargetMode="External"/><Relationship Id="rId163" Type="http://schemas.openxmlformats.org/officeDocument/2006/relationships/hyperlink" Target="https://training.gov.au/Organisation/Details/41554" TargetMode="External"/><Relationship Id="rId184" Type="http://schemas.openxmlformats.org/officeDocument/2006/relationships/hyperlink" Target="https://training.gov.au/Organisation/Details/45682" TargetMode="External"/><Relationship Id="rId219" Type="http://schemas.openxmlformats.org/officeDocument/2006/relationships/hyperlink" Target="https://training.gov.au/Organisation/Details/91521" TargetMode="External"/><Relationship Id="rId3" Type="http://schemas.openxmlformats.org/officeDocument/2006/relationships/hyperlink" Target="https://training.gov.au/Organisation/Details/0677" TargetMode="External"/><Relationship Id="rId214" Type="http://schemas.openxmlformats.org/officeDocument/2006/relationships/hyperlink" Target="https://training.gov.au/Organisation/Details/91138" TargetMode="External"/><Relationship Id="rId25" Type="http://schemas.openxmlformats.org/officeDocument/2006/relationships/hyperlink" Target="https://training.gov.au/organisation/details/30144/summary" TargetMode="External"/><Relationship Id="rId46" Type="http://schemas.openxmlformats.org/officeDocument/2006/relationships/hyperlink" Target="https://training.gov.au/Organisation/Details/31279" TargetMode="External"/><Relationship Id="rId67" Type="http://schemas.openxmlformats.org/officeDocument/2006/relationships/hyperlink" Target="https://training.gov.au/Organisation/Details/31544" TargetMode="External"/><Relationship Id="rId116" Type="http://schemas.openxmlformats.org/officeDocument/2006/relationships/hyperlink" Target="https://training.gov.au/Organisation/Details/40489" TargetMode="External"/><Relationship Id="rId137" Type="http://schemas.openxmlformats.org/officeDocument/2006/relationships/hyperlink" Target="https://training.gov.au/Organisation/Details/40931" TargetMode="External"/><Relationship Id="rId158" Type="http://schemas.openxmlformats.org/officeDocument/2006/relationships/hyperlink" Target="https://training.gov.au/Organisation/Details/41418" TargetMode="External"/><Relationship Id="rId20" Type="http://schemas.openxmlformats.org/officeDocument/2006/relationships/hyperlink" Target="https://training.gov.au/Organisation/Details/30048" TargetMode="External"/><Relationship Id="rId41" Type="http://schemas.openxmlformats.org/officeDocument/2006/relationships/hyperlink" Target="https://training.gov.au/Organisation/Details/30950" TargetMode="External"/><Relationship Id="rId62" Type="http://schemas.openxmlformats.org/officeDocument/2006/relationships/hyperlink" Target="https://training.gov.au/organisation/details/31425/summary" TargetMode="External"/><Relationship Id="rId83" Type="http://schemas.openxmlformats.org/officeDocument/2006/relationships/hyperlink" Target="https://training.gov.au/Organisation/Details/31963" TargetMode="External"/><Relationship Id="rId88" Type="http://schemas.openxmlformats.org/officeDocument/2006/relationships/hyperlink" Target="https://training.gov.au/Organisation/Details/32108" TargetMode="External"/><Relationship Id="rId111" Type="http://schemas.openxmlformats.org/officeDocument/2006/relationships/hyperlink" Target="https://training.gov.au/Organisation/Details/32509" TargetMode="External"/><Relationship Id="rId132" Type="http://schemas.openxmlformats.org/officeDocument/2006/relationships/hyperlink" Target="https://training.gov.au/Organisation/Details/40905" TargetMode="External"/><Relationship Id="rId153" Type="http://schemas.openxmlformats.org/officeDocument/2006/relationships/hyperlink" Target="https://training.gov.au/Organisation/Details/41351" TargetMode="External"/><Relationship Id="rId174" Type="http://schemas.openxmlformats.org/officeDocument/2006/relationships/hyperlink" Target="https://training.gov.au/Organisation/Details/45438" TargetMode="External"/><Relationship Id="rId179" Type="http://schemas.openxmlformats.org/officeDocument/2006/relationships/hyperlink" Target="https://training.gov.au/Organisation/Details/45555" TargetMode="External"/><Relationship Id="rId195" Type="http://schemas.openxmlformats.org/officeDocument/2006/relationships/hyperlink" Target="https://training.gov.au/organisation/details/46244/summary" TargetMode="External"/><Relationship Id="rId209" Type="http://schemas.openxmlformats.org/officeDocument/2006/relationships/hyperlink" Target="https://training.gov.au/Organisation/Details/7061" TargetMode="External"/><Relationship Id="rId190" Type="http://schemas.openxmlformats.org/officeDocument/2006/relationships/hyperlink" Target="https://training.gov.au/organisation/details/45778/summary" TargetMode="External"/><Relationship Id="rId204" Type="http://schemas.openxmlformats.org/officeDocument/2006/relationships/hyperlink" Target="https://training.gov.au/Organisation/Details/5768" TargetMode="External"/><Relationship Id="rId220" Type="http://schemas.openxmlformats.org/officeDocument/2006/relationships/hyperlink" Target="https://training.gov.au/Organisation/Details/91528" TargetMode="External"/><Relationship Id="rId225" Type="http://schemas.openxmlformats.org/officeDocument/2006/relationships/hyperlink" Target="https://training.gov.au/Organisation/Details/91816" TargetMode="External"/><Relationship Id="rId15" Type="http://schemas.openxmlformats.org/officeDocument/2006/relationships/hyperlink" Target="https://training.gov.au/Organisation/Details/20749" TargetMode="External"/><Relationship Id="rId36" Type="http://schemas.openxmlformats.org/officeDocument/2006/relationships/hyperlink" Target="https://training.gov.au/Organisation/Details/30460" TargetMode="External"/><Relationship Id="rId57" Type="http://schemas.openxmlformats.org/officeDocument/2006/relationships/hyperlink" Target="https://training.gov.au/Organisation/Details/31252" TargetMode="External"/><Relationship Id="rId106" Type="http://schemas.openxmlformats.org/officeDocument/2006/relationships/hyperlink" Target="https://training.gov.au/Organisation/Details/32456" TargetMode="External"/><Relationship Id="rId127" Type="http://schemas.openxmlformats.org/officeDocument/2006/relationships/hyperlink" Target="https://training.gov.au/Organisation/Details/40785" TargetMode="External"/><Relationship Id="rId10" Type="http://schemas.openxmlformats.org/officeDocument/2006/relationships/hyperlink" Target="https://training.gov.au/Organisation/Details/110029" TargetMode="External"/><Relationship Id="rId31" Type="http://schemas.openxmlformats.org/officeDocument/2006/relationships/hyperlink" Target="https://training.gov.au/Organisation/Details/30314" TargetMode="External"/><Relationship Id="rId52" Type="http://schemas.openxmlformats.org/officeDocument/2006/relationships/hyperlink" Target="https://training.gov.au/Organisation/Details/30820" TargetMode="External"/><Relationship Id="rId73" Type="http://schemas.openxmlformats.org/officeDocument/2006/relationships/hyperlink" Target="https://training.gov.au/Organisation/Details/31718" TargetMode="External"/><Relationship Id="rId78" Type="http://schemas.openxmlformats.org/officeDocument/2006/relationships/hyperlink" Target="https://training.gov.au/Organisation/Details/31890" TargetMode="External"/><Relationship Id="rId94" Type="http://schemas.openxmlformats.org/officeDocument/2006/relationships/hyperlink" Target="https://training.gov.au/Organisation/Details/32252" TargetMode="External"/><Relationship Id="rId99" Type="http://schemas.openxmlformats.org/officeDocument/2006/relationships/hyperlink" Target="https://training.gov.au/Organisation/Details/32365" TargetMode="External"/><Relationship Id="rId101" Type="http://schemas.openxmlformats.org/officeDocument/2006/relationships/hyperlink" Target="https://training.gov.au/Organisation/Details/32381" TargetMode="External"/><Relationship Id="rId122" Type="http://schemas.openxmlformats.org/officeDocument/2006/relationships/hyperlink" Target="https://training.gov.au/Organisation/Details/40621" TargetMode="External"/><Relationship Id="rId143" Type="http://schemas.openxmlformats.org/officeDocument/2006/relationships/hyperlink" Target="https://training.gov.au/Organisation/Details/41097" TargetMode="External"/><Relationship Id="rId148" Type="http://schemas.openxmlformats.org/officeDocument/2006/relationships/hyperlink" Target="https://training.gov.au/Organisation/Details/41283" TargetMode="External"/><Relationship Id="rId164" Type="http://schemas.openxmlformats.org/officeDocument/2006/relationships/hyperlink" Target="https://training.gov.au/Organisation/Details/41594" TargetMode="External"/><Relationship Id="rId169" Type="http://schemas.openxmlformats.org/officeDocument/2006/relationships/hyperlink" Target="https://training.gov.au/Organisation/Details/45256" TargetMode="External"/><Relationship Id="rId185" Type="http://schemas.openxmlformats.org/officeDocument/2006/relationships/hyperlink" Target="https://training.gov.au/Organisation/Details/45723" TargetMode="External"/><Relationship Id="rId4" Type="http://schemas.openxmlformats.org/officeDocument/2006/relationships/hyperlink" Target="https://training.gov.au/Organisation/Details/0678" TargetMode="External"/><Relationship Id="rId9" Type="http://schemas.openxmlformats.org/officeDocument/2006/relationships/hyperlink" Target="https://training.gov.au/Organisation/Details/1091" TargetMode="External"/><Relationship Id="rId180" Type="http://schemas.openxmlformats.org/officeDocument/2006/relationships/hyperlink" Target="https://training.gov.au/Organisation/Details/45597" TargetMode="External"/><Relationship Id="rId210" Type="http://schemas.openxmlformats.org/officeDocument/2006/relationships/hyperlink" Target="https://training.gov.au/Organisation/Details/90659" TargetMode="External"/><Relationship Id="rId215" Type="http://schemas.openxmlformats.org/officeDocument/2006/relationships/hyperlink" Target="https://training.gov.au/Organisation/Details/91206" TargetMode="External"/><Relationship Id="rId26" Type="http://schemas.openxmlformats.org/officeDocument/2006/relationships/hyperlink" Target="https://training.gov.au/Organisation/Details/30166" TargetMode="External"/><Relationship Id="rId47" Type="http://schemas.openxmlformats.org/officeDocument/2006/relationships/hyperlink" Target="https://training.gov.au/Organisation/Details/31345" TargetMode="External"/><Relationship Id="rId68" Type="http://schemas.openxmlformats.org/officeDocument/2006/relationships/hyperlink" Target="https://training.gov.au/Organisation/Details/31588" TargetMode="External"/><Relationship Id="rId89" Type="http://schemas.openxmlformats.org/officeDocument/2006/relationships/hyperlink" Target="https://training.gov.au/Organisation/Details/32146" TargetMode="External"/><Relationship Id="rId112" Type="http://schemas.openxmlformats.org/officeDocument/2006/relationships/hyperlink" Target="https://training.gov.au/Organisation/Details/32512" TargetMode="External"/><Relationship Id="rId133" Type="http://schemas.openxmlformats.org/officeDocument/2006/relationships/hyperlink" Target="https://training.gov.au/Organisation/Details/40907" TargetMode="External"/><Relationship Id="rId154" Type="http://schemas.openxmlformats.org/officeDocument/2006/relationships/hyperlink" Target="https://training.gov.au/Organisation/Details/41356" TargetMode="External"/><Relationship Id="rId175" Type="http://schemas.openxmlformats.org/officeDocument/2006/relationships/hyperlink" Target="https://training.gov.au/Organisation/Details/45446" TargetMode="External"/><Relationship Id="rId196" Type="http://schemas.openxmlformats.org/officeDocument/2006/relationships/hyperlink" Target="https://training.gov.au/Organisation/Details/46306" TargetMode="External"/><Relationship Id="rId200" Type="http://schemas.openxmlformats.org/officeDocument/2006/relationships/hyperlink" Target="https://training.gov.au/Organisation/Details/5363" TargetMode="External"/><Relationship Id="rId16" Type="http://schemas.openxmlformats.org/officeDocument/2006/relationships/hyperlink" Target="https://training.gov.au/Organisation/Details/21055" TargetMode="External"/><Relationship Id="rId221" Type="http://schemas.openxmlformats.org/officeDocument/2006/relationships/hyperlink" Target="https://training.gov.au/Organisation/Details/91533" TargetMode="External"/><Relationship Id="rId37" Type="http://schemas.openxmlformats.org/officeDocument/2006/relationships/hyperlink" Target="https://training.gov.au/Organisation/Details/30477" TargetMode="External"/><Relationship Id="rId58" Type="http://schemas.openxmlformats.org/officeDocument/2006/relationships/hyperlink" Target="https://training.gov.au/Organisation/Details/31352" TargetMode="External"/><Relationship Id="rId79" Type="http://schemas.openxmlformats.org/officeDocument/2006/relationships/hyperlink" Target="https://training.gov.au/Organisation/Details/31900" TargetMode="External"/><Relationship Id="rId102" Type="http://schemas.openxmlformats.org/officeDocument/2006/relationships/hyperlink" Target="https://training.gov.au/Organisation/Details/32394" TargetMode="External"/><Relationship Id="rId123" Type="http://schemas.openxmlformats.org/officeDocument/2006/relationships/hyperlink" Target="https://training.gov.au/Organisation/Details/40681" TargetMode="External"/><Relationship Id="rId144" Type="http://schemas.openxmlformats.org/officeDocument/2006/relationships/hyperlink" Target="https://training.gov.au/organisation/details/41176/summary" TargetMode="External"/><Relationship Id="rId90" Type="http://schemas.openxmlformats.org/officeDocument/2006/relationships/hyperlink" Target="https://training.gov.au/Organisation/Details/32186" TargetMode="External"/><Relationship Id="rId165" Type="http://schemas.openxmlformats.org/officeDocument/2006/relationships/hyperlink" Target="https://training.gov.au/Organisation/Details/45028" TargetMode="External"/><Relationship Id="rId186" Type="http://schemas.openxmlformats.org/officeDocument/2006/relationships/hyperlink" Target="https://training.gov.au/Organisation/Details/45726" TargetMode="External"/><Relationship Id="rId211" Type="http://schemas.openxmlformats.org/officeDocument/2006/relationships/hyperlink" Target="https://training.gov.au/Organisation/Details/90702" TargetMode="External"/><Relationship Id="rId27" Type="http://schemas.openxmlformats.org/officeDocument/2006/relationships/hyperlink" Target="https://training.gov.au/Organisation/Details/30185" TargetMode="External"/><Relationship Id="rId48" Type="http://schemas.openxmlformats.org/officeDocument/2006/relationships/hyperlink" Target="https://training.gov.au/Organisation/Details/31372" TargetMode="External"/><Relationship Id="rId69" Type="http://schemas.openxmlformats.org/officeDocument/2006/relationships/hyperlink" Target="https://training.gov.au/Organisation/Details/31589" TargetMode="External"/><Relationship Id="rId113" Type="http://schemas.openxmlformats.org/officeDocument/2006/relationships/hyperlink" Target="https://training.gov.au/Organisation/Details/32519" TargetMode="External"/><Relationship Id="rId134" Type="http://schemas.openxmlformats.org/officeDocument/2006/relationships/hyperlink" Target="https://training.gov.au/Organisation/Details/40914" TargetMode="External"/><Relationship Id="rId80" Type="http://schemas.openxmlformats.org/officeDocument/2006/relationships/hyperlink" Target="https://training.gov.au/Organisation/Details/31911" TargetMode="External"/><Relationship Id="rId155" Type="http://schemas.openxmlformats.org/officeDocument/2006/relationships/hyperlink" Target="https://training.gov.au/Organisation/Details/41392" TargetMode="External"/><Relationship Id="rId176" Type="http://schemas.openxmlformats.org/officeDocument/2006/relationships/hyperlink" Target="https://training.gov.au/Organisation/Details/45483" TargetMode="External"/><Relationship Id="rId197" Type="http://schemas.openxmlformats.org/officeDocument/2006/relationships/hyperlink" Target="https://training.gov.au/Organisation/Details/51333" TargetMode="External"/><Relationship Id="rId201" Type="http://schemas.openxmlformats.org/officeDocument/2006/relationships/hyperlink" Target="https://training.gov.au/Organisation/Details/5388" TargetMode="External"/><Relationship Id="rId222" Type="http://schemas.openxmlformats.org/officeDocument/2006/relationships/hyperlink" Target="https://training.gov.au/Organisation/Details/91534" TargetMode="External"/><Relationship Id="rId17" Type="http://schemas.openxmlformats.org/officeDocument/2006/relationships/hyperlink" Target="https://training.gov.au/Organisation/Details/21371" TargetMode="External"/><Relationship Id="rId38" Type="http://schemas.openxmlformats.org/officeDocument/2006/relationships/hyperlink" Target="https://training.gov.au/Organisation/Details/30484" TargetMode="External"/><Relationship Id="rId59" Type="http://schemas.openxmlformats.org/officeDocument/2006/relationships/hyperlink" Target="https://training.gov.au/Organisation/Details/31385" TargetMode="External"/><Relationship Id="rId103" Type="http://schemas.openxmlformats.org/officeDocument/2006/relationships/hyperlink" Target="https://training.gov.au/Organisation/Details/32409" TargetMode="External"/><Relationship Id="rId124" Type="http://schemas.openxmlformats.org/officeDocument/2006/relationships/hyperlink" Target="https://training.gov.au/Organisation/Details/40727" TargetMode="External"/><Relationship Id="rId70" Type="http://schemas.openxmlformats.org/officeDocument/2006/relationships/hyperlink" Target="https://training.gov.au/Organisation/Details/31634" TargetMode="External"/><Relationship Id="rId91" Type="http://schemas.openxmlformats.org/officeDocument/2006/relationships/hyperlink" Target="https://training.gov.au/Organisation/Details/32199" TargetMode="External"/><Relationship Id="rId145" Type="http://schemas.openxmlformats.org/officeDocument/2006/relationships/hyperlink" Target="https://training.gov.au/Organisation/Details/41179" TargetMode="External"/><Relationship Id="rId166" Type="http://schemas.openxmlformats.org/officeDocument/2006/relationships/hyperlink" Target="https://training.gov.au/Organisation/Details/45132" TargetMode="External"/><Relationship Id="rId187" Type="http://schemas.openxmlformats.org/officeDocument/2006/relationships/hyperlink" Target="https://training.gov.au/Organisation/Details/45747" TargetMode="External"/><Relationship Id="rId1" Type="http://schemas.openxmlformats.org/officeDocument/2006/relationships/hyperlink" Target="https://training.gov.au/Organisation/Details/0275" TargetMode="External"/><Relationship Id="rId212" Type="http://schemas.openxmlformats.org/officeDocument/2006/relationships/hyperlink" Target="https://training.gov.au/Organisation/Details/90909" TargetMode="External"/><Relationship Id="rId28" Type="http://schemas.openxmlformats.org/officeDocument/2006/relationships/hyperlink" Target="https://training.gov.au/Organisation/Details/30200" TargetMode="External"/><Relationship Id="rId49" Type="http://schemas.openxmlformats.org/officeDocument/2006/relationships/hyperlink" Target="https://training.gov.au/Organisation/Details/30409" TargetMode="External"/><Relationship Id="rId114" Type="http://schemas.openxmlformats.org/officeDocument/2006/relationships/hyperlink" Target="https://training.gov.au/Organisation/Details/32577" TargetMode="External"/><Relationship Id="rId60" Type="http://schemas.openxmlformats.org/officeDocument/2006/relationships/hyperlink" Target="https://training.gov.au/Organisation/Details/31399" TargetMode="External"/><Relationship Id="rId81" Type="http://schemas.openxmlformats.org/officeDocument/2006/relationships/hyperlink" Target="https://training.gov.au/Organisation/Details/31953" TargetMode="External"/><Relationship Id="rId135" Type="http://schemas.openxmlformats.org/officeDocument/2006/relationships/hyperlink" Target="https://training.gov.au/Organisation/Details/40926" TargetMode="External"/><Relationship Id="rId156" Type="http://schemas.openxmlformats.org/officeDocument/2006/relationships/hyperlink" Target="https://training.gov.au/Organisation/Details/41410" TargetMode="External"/><Relationship Id="rId177" Type="http://schemas.openxmlformats.org/officeDocument/2006/relationships/hyperlink" Target="https://training.gov.au/Organisation/Details/45546" TargetMode="External"/><Relationship Id="rId198" Type="http://schemas.openxmlformats.org/officeDocument/2006/relationships/hyperlink" Target="https://training.gov.au/Organisation/Details/51681" TargetMode="External"/><Relationship Id="rId202" Type="http://schemas.openxmlformats.org/officeDocument/2006/relationships/hyperlink" Target="https://training.gov.au/Organisation/Details/5553" TargetMode="External"/><Relationship Id="rId223" Type="http://schemas.openxmlformats.org/officeDocument/2006/relationships/hyperlink" Target="https://training.gov.au/Organisation/Details/91577" TargetMode="External"/><Relationship Id="rId18" Type="http://schemas.openxmlformats.org/officeDocument/2006/relationships/hyperlink" Target="https://training.gov.au/Organisation/Details/21583" TargetMode="External"/><Relationship Id="rId39" Type="http://schemas.openxmlformats.org/officeDocument/2006/relationships/hyperlink" Target="https://training.gov.au/Organisation/Details/30614" TargetMode="External"/><Relationship Id="rId50" Type="http://schemas.openxmlformats.org/officeDocument/2006/relationships/hyperlink" Target="https://training.gov.au/Organisation/Details/30527" TargetMode="External"/><Relationship Id="rId104" Type="http://schemas.openxmlformats.org/officeDocument/2006/relationships/hyperlink" Target="https://training.gov.au/Organisation/Details/32438" TargetMode="External"/><Relationship Id="rId125" Type="http://schemas.openxmlformats.org/officeDocument/2006/relationships/hyperlink" Target="https://training.gov.au/Organisation/Details/40739" TargetMode="External"/><Relationship Id="rId146" Type="http://schemas.openxmlformats.org/officeDocument/2006/relationships/hyperlink" Target="https://training.gov.au/Organisation/Details/41225" TargetMode="External"/><Relationship Id="rId167" Type="http://schemas.openxmlformats.org/officeDocument/2006/relationships/hyperlink" Target="https://training.gov.au/Organisation/Details/45144" TargetMode="External"/><Relationship Id="rId188" Type="http://schemas.openxmlformats.org/officeDocument/2006/relationships/hyperlink" Target="https://training.gov.au/Organisation/Details/45802" TargetMode="External"/><Relationship Id="rId71" Type="http://schemas.openxmlformats.org/officeDocument/2006/relationships/hyperlink" Target="https://training.gov.au/Organisation/Details/31664" TargetMode="External"/><Relationship Id="rId92" Type="http://schemas.openxmlformats.org/officeDocument/2006/relationships/hyperlink" Target="https://training.gov.au/Organisation/Details/32226" TargetMode="External"/><Relationship Id="rId213" Type="http://schemas.openxmlformats.org/officeDocument/2006/relationships/hyperlink" Target="https://training.gov.au/Organisation/Details/91118" TargetMode="External"/><Relationship Id="rId2" Type="http://schemas.openxmlformats.org/officeDocument/2006/relationships/hyperlink" Target="https://training.gov.au/Organisation/Details/0328" TargetMode="External"/><Relationship Id="rId29" Type="http://schemas.openxmlformats.org/officeDocument/2006/relationships/hyperlink" Target="https://training.gov.au/Organisation/Details/30229" TargetMode="External"/><Relationship Id="rId40" Type="http://schemas.openxmlformats.org/officeDocument/2006/relationships/hyperlink" Target="https://training.gov.au/Organisation/Details/30660" TargetMode="External"/><Relationship Id="rId115" Type="http://schemas.openxmlformats.org/officeDocument/2006/relationships/hyperlink" Target="https://training.gov.au/Organisation/Details/3399" TargetMode="External"/><Relationship Id="rId136" Type="http://schemas.openxmlformats.org/officeDocument/2006/relationships/hyperlink" Target="https://training.gov.au/Organisation/Details/40928" TargetMode="External"/><Relationship Id="rId157" Type="http://schemas.openxmlformats.org/officeDocument/2006/relationships/hyperlink" Target="https://training.gov.au/Organisation/Details/41413" TargetMode="External"/><Relationship Id="rId178" Type="http://schemas.openxmlformats.org/officeDocument/2006/relationships/hyperlink" Target="https://training.gov.au/Organisation/Details/45550" TargetMode="External"/><Relationship Id="rId61" Type="http://schemas.openxmlformats.org/officeDocument/2006/relationships/hyperlink" Target="https://training.gov.au/Organisation/Details/31444" TargetMode="External"/><Relationship Id="rId82" Type="http://schemas.openxmlformats.org/officeDocument/2006/relationships/hyperlink" Target="https://training.gov.au/Organisation/Details/31955" TargetMode="External"/><Relationship Id="rId199" Type="http://schemas.openxmlformats.org/officeDocument/2006/relationships/hyperlink" Target="https://training.gov.au/organisation/details/46244/summary" TargetMode="External"/><Relationship Id="rId203" Type="http://schemas.openxmlformats.org/officeDocument/2006/relationships/hyperlink" Target="https://training.gov.au/Organisation/Details/5708" TargetMode="External"/><Relationship Id="rId19" Type="http://schemas.openxmlformats.org/officeDocument/2006/relationships/hyperlink" Target="https://training.gov.au/Organisation/Details/22508" TargetMode="External"/><Relationship Id="rId224" Type="http://schemas.openxmlformats.org/officeDocument/2006/relationships/hyperlink" Target="https://training.gov.au/Organisation/Details/91694" TargetMode="External"/><Relationship Id="rId30" Type="http://schemas.openxmlformats.org/officeDocument/2006/relationships/hyperlink" Target="https://training.gov.au/Organisation/Details/30258" TargetMode="External"/><Relationship Id="rId105" Type="http://schemas.openxmlformats.org/officeDocument/2006/relationships/hyperlink" Target="https://training.gov.au/Organisation/Details/32452" TargetMode="External"/><Relationship Id="rId126" Type="http://schemas.openxmlformats.org/officeDocument/2006/relationships/hyperlink" Target="https://training.gov.au/Organisation/Details/40772" TargetMode="External"/><Relationship Id="rId147" Type="http://schemas.openxmlformats.org/officeDocument/2006/relationships/hyperlink" Target="https://training.gov.au/Organisation/Details/41248" TargetMode="External"/><Relationship Id="rId168" Type="http://schemas.openxmlformats.org/officeDocument/2006/relationships/hyperlink" Target="https://training.gov.au/Organisation/Details/45199" TargetMode="External"/><Relationship Id="rId51" Type="http://schemas.openxmlformats.org/officeDocument/2006/relationships/hyperlink" Target="https://training.gov.au/Organisation/Details/30622" TargetMode="External"/><Relationship Id="rId72" Type="http://schemas.openxmlformats.org/officeDocument/2006/relationships/hyperlink" Target="https://training.gov.au/Organisation/Details/31714" TargetMode="External"/><Relationship Id="rId93" Type="http://schemas.openxmlformats.org/officeDocument/2006/relationships/hyperlink" Target="https://training.gov.au/Organisation/Details/32238" TargetMode="External"/><Relationship Id="rId189" Type="http://schemas.openxmlformats.org/officeDocument/2006/relationships/hyperlink" Target="https://training.gov.au/Organisation/Details/458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7B34D-891F-4307-B41A-4F5EDB37CEEF}">
  <sheetPr codeName="Sheet14">
    <tabColor theme="0"/>
  </sheetPr>
  <dimension ref="A1:R400"/>
  <sheetViews>
    <sheetView tabSelected="1" zoomScale="80" zoomScaleNormal="80" workbookViewId="0">
      <selection activeCell="E234" sqref="E234"/>
    </sheetView>
  </sheetViews>
  <sheetFormatPr defaultRowHeight="15" x14ac:dyDescent="0.25"/>
  <cols>
    <col min="1" max="1" width="13.5703125" customWidth="1"/>
    <col min="2" max="2" width="57.7109375" customWidth="1"/>
    <col min="3" max="3" width="46.140625" customWidth="1"/>
    <col min="4" max="4" width="21.28515625" customWidth="1"/>
    <col min="5" max="5" width="54.42578125" customWidth="1"/>
    <col min="6" max="6" width="28.42578125" style="1" customWidth="1"/>
    <col min="7" max="7" width="24" style="1" customWidth="1"/>
    <col min="8" max="17" width="19.5703125" hidden="1" customWidth="1"/>
    <col min="18" max="18" width="15.5703125" bestFit="1" customWidth="1"/>
    <col min="19" max="19" width="19.42578125" bestFit="1" customWidth="1"/>
    <col min="20" max="21" width="18.5703125" bestFit="1" customWidth="1"/>
    <col min="22" max="22" width="28.42578125" bestFit="1" customWidth="1"/>
    <col min="23" max="23" width="10.42578125" bestFit="1" customWidth="1"/>
    <col min="24" max="24" width="52.5703125" bestFit="1" customWidth="1"/>
    <col min="25" max="25" width="13.5703125" bestFit="1" customWidth="1"/>
    <col min="26" max="26" width="27.42578125" bestFit="1" customWidth="1"/>
    <col min="27" max="27" width="21.42578125" bestFit="1" customWidth="1"/>
    <col min="28" max="28" width="43.5703125" bestFit="1" customWidth="1"/>
    <col min="29" max="29" width="40.42578125" bestFit="1" customWidth="1"/>
    <col min="30" max="30" width="67.5703125" bestFit="1" customWidth="1"/>
    <col min="31" max="31" width="42.42578125" bestFit="1" customWidth="1"/>
    <col min="32" max="32" width="28.5703125" bestFit="1" customWidth="1"/>
    <col min="33" max="33" width="34.5703125" bestFit="1" customWidth="1"/>
    <col min="34" max="34" width="26.42578125" bestFit="1" customWidth="1"/>
    <col min="35" max="35" width="31.5703125" bestFit="1" customWidth="1"/>
    <col min="36" max="36" width="32.42578125" bestFit="1" customWidth="1"/>
    <col min="37" max="37" width="30.5703125" bestFit="1" customWidth="1"/>
    <col min="38" max="38" width="23" bestFit="1" customWidth="1"/>
    <col min="39" max="39" width="21.42578125" bestFit="1" customWidth="1"/>
    <col min="40" max="40" width="25.42578125" bestFit="1" customWidth="1"/>
    <col min="41" max="41" width="36.42578125" bestFit="1" customWidth="1"/>
    <col min="42" max="42" width="30.42578125" bestFit="1" customWidth="1"/>
    <col min="43" max="43" width="21.42578125" bestFit="1" customWidth="1"/>
    <col min="44" max="44" width="23.42578125" bestFit="1" customWidth="1"/>
    <col min="45" max="45" width="21.5703125" bestFit="1" customWidth="1"/>
    <col min="46" max="46" width="28.5703125" bestFit="1" customWidth="1"/>
    <col min="47" max="47" width="29.5703125" bestFit="1" customWidth="1"/>
    <col min="48" max="48" width="31.42578125" bestFit="1" customWidth="1"/>
    <col min="49" max="49" width="26.42578125" bestFit="1" customWidth="1"/>
    <col min="50" max="50" width="12.42578125" bestFit="1" customWidth="1"/>
    <col min="51" max="51" width="25.42578125" bestFit="1" customWidth="1"/>
    <col min="52" max="52" width="28.42578125" bestFit="1" customWidth="1"/>
    <col min="53" max="53" width="65.42578125" bestFit="1" customWidth="1"/>
    <col min="54" max="54" width="24.5703125" bestFit="1" customWidth="1"/>
    <col min="55" max="55" width="20.5703125" bestFit="1" customWidth="1"/>
    <col min="56" max="56" width="19.42578125" bestFit="1" customWidth="1"/>
    <col min="57" max="57" width="22.5703125" bestFit="1" customWidth="1"/>
    <col min="58" max="58" width="26.5703125" bestFit="1" customWidth="1"/>
    <col min="59" max="59" width="45.5703125" bestFit="1" customWidth="1"/>
    <col min="60" max="60" width="66.42578125" bestFit="1" customWidth="1"/>
    <col min="61" max="61" width="37.5703125" bestFit="1" customWidth="1"/>
    <col min="62" max="62" width="51.5703125" bestFit="1" customWidth="1"/>
    <col min="63" max="63" width="27.5703125" bestFit="1" customWidth="1"/>
    <col min="64" max="64" width="32.5703125" bestFit="1" customWidth="1"/>
    <col min="65" max="65" width="23" bestFit="1" customWidth="1"/>
    <col min="66" max="66" width="39.42578125" bestFit="1" customWidth="1"/>
    <col min="67" max="67" width="24.42578125" bestFit="1" customWidth="1"/>
    <col min="68" max="68" width="16.42578125" bestFit="1" customWidth="1"/>
    <col min="69" max="69" width="35.42578125" bestFit="1" customWidth="1"/>
    <col min="70" max="70" width="15.5703125" bestFit="1" customWidth="1"/>
    <col min="71" max="71" width="24.5703125" bestFit="1" customWidth="1"/>
    <col min="72" max="72" width="25" bestFit="1" customWidth="1"/>
    <col min="73" max="73" width="32" bestFit="1" customWidth="1"/>
    <col min="74" max="74" width="17.42578125" bestFit="1" customWidth="1"/>
    <col min="75" max="75" width="24.42578125" bestFit="1" customWidth="1"/>
    <col min="76" max="76" width="25.42578125" bestFit="1" customWidth="1"/>
    <col min="77" max="77" width="11.42578125" bestFit="1" customWidth="1"/>
    <col min="78" max="78" width="22" bestFit="1" customWidth="1"/>
    <col min="79" max="79" width="25.5703125" bestFit="1" customWidth="1"/>
    <col min="80" max="80" width="52.42578125" bestFit="1" customWidth="1"/>
    <col min="81" max="81" width="28.42578125" bestFit="1" customWidth="1"/>
    <col min="82" max="82" width="42.5703125" bestFit="1" customWidth="1"/>
    <col min="83" max="83" width="22.5703125" bestFit="1" customWidth="1"/>
    <col min="84" max="84" width="26.42578125" bestFit="1" customWidth="1"/>
    <col min="85" max="85" width="38.42578125" bestFit="1" customWidth="1"/>
    <col min="86" max="86" width="17" bestFit="1" customWidth="1"/>
    <col min="87" max="87" width="58.42578125" bestFit="1" customWidth="1"/>
    <col min="88" max="88" width="39.5703125" bestFit="1" customWidth="1"/>
    <col min="89" max="89" width="19.5703125" bestFit="1" customWidth="1"/>
    <col min="90" max="90" width="37.42578125" bestFit="1" customWidth="1"/>
    <col min="91" max="91" width="21.5703125" bestFit="1" customWidth="1"/>
    <col min="92" max="92" width="23" bestFit="1" customWidth="1"/>
    <col min="93" max="93" width="14.42578125" bestFit="1" customWidth="1"/>
    <col min="94" max="94" width="33.5703125" bestFit="1" customWidth="1"/>
    <col min="95" max="95" width="38" bestFit="1" customWidth="1"/>
    <col min="96" max="96" width="31.5703125" bestFit="1" customWidth="1"/>
    <col min="97" max="97" width="15.5703125" bestFit="1" customWidth="1"/>
    <col min="98" max="98" width="22.5703125" bestFit="1" customWidth="1"/>
    <col min="99" max="99" width="28.5703125" bestFit="1" customWidth="1"/>
    <col min="100" max="100" width="30.5703125" bestFit="1" customWidth="1"/>
    <col min="101" max="101" width="32.42578125" bestFit="1" customWidth="1"/>
    <col min="102" max="102" width="47.5703125" bestFit="1" customWidth="1"/>
    <col min="103" max="103" width="17.5703125" bestFit="1" customWidth="1"/>
    <col min="104" max="104" width="16.42578125" bestFit="1" customWidth="1"/>
    <col min="105" max="105" width="35.5703125" bestFit="1" customWidth="1"/>
    <col min="106" max="106" width="18.42578125" bestFit="1" customWidth="1"/>
    <col min="107" max="107" width="27.42578125" bestFit="1" customWidth="1"/>
    <col min="108" max="108" width="23.42578125" bestFit="1" customWidth="1"/>
    <col min="109" max="109" width="24.42578125" bestFit="1" customWidth="1"/>
    <col min="110" max="110" width="27.42578125" bestFit="1" customWidth="1"/>
    <col min="111" max="111" width="22.5703125" bestFit="1" customWidth="1"/>
    <col min="112" max="112" width="76.42578125" bestFit="1" customWidth="1"/>
    <col min="113" max="113" width="29.5703125" bestFit="1" customWidth="1"/>
    <col min="114" max="114" width="22.5703125" bestFit="1" customWidth="1"/>
    <col min="115" max="115" width="30.42578125" bestFit="1" customWidth="1"/>
    <col min="116" max="116" width="22.42578125" bestFit="1" customWidth="1"/>
    <col min="117" max="117" width="28.42578125" bestFit="1" customWidth="1"/>
    <col min="118" max="118" width="19.5703125" bestFit="1" customWidth="1"/>
    <col min="119" max="119" width="16.5703125" bestFit="1" customWidth="1"/>
    <col min="120" max="120" width="25.5703125" bestFit="1" customWidth="1"/>
    <col min="121" max="121" width="20.5703125" bestFit="1" customWidth="1"/>
    <col min="122" max="122" width="29.5703125" bestFit="1" customWidth="1"/>
    <col min="123" max="123" width="17.5703125" bestFit="1" customWidth="1"/>
    <col min="124" max="124" width="25.5703125" bestFit="1" customWidth="1"/>
    <col min="125" max="125" width="14.42578125" bestFit="1" customWidth="1"/>
    <col min="126" max="126" width="13.5703125" bestFit="1" customWidth="1"/>
    <col min="127" max="127" width="48.42578125" bestFit="1" customWidth="1"/>
    <col min="128" max="128" width="29.42578125" bestFit="1" customWidth="1"/>
    <col min="129" max="129" width="28.42578125" bestFit="1" customWidth="1"/>
    <col min="130" max="130" width="24.42578125" bestFit="1" customWidth="1"/>
    <col min="131" max="131" width="24.5703125" bestFit="1" customWidth="1"/>
    <col min="132" max="132" width="19.5703125" bestFit="1" customWidth="1"/>
    <col min="133" max="133" width="26.5703125" bestFit="1" customWidth="1"/>
    <col min="134" max="134" width="21.5703125" bestFit="1" customWidth="1"/>
    <col min="135" max="135" width="23.5703125" bestFit="1" customWidth="1"/>
    <col min="136" max="136" width="17" bestFit="1" customWidth="1"/>
    <col min="137" max="137" width="40.5703125" bestFit="1" customWidth="1"/>
    <col min="138" max="138" width="26.5703125" bestFit="1" customWidth="1"/>
    <col min="139" max="139" width="28.5703125" bestFit="1" customWidth="1"/>
    <col min="140" max="140" width="26.42578125" bestFit="1" customWidth="1"/>
    <col min="141" max="141" width="35.42578125" bestFit="1" customWidth="1"/>
    <col min="142" max="142" width="27.5703125" bestFit="1" customWidth="1"/>
    <col min="143" max="143" width="42.5703125" bestFit="1" customWidth="1"/>
    <col min="144" max="144" width="24.42578125" bestFit="1" customWidth="1"/>
    <col min="145" max="145" width="76.5703125" bestFit="1" customWidth="1"/>
    <col min="146" max="146" width="24.42578125" bestFit="1" customWidth="1"/>
    <col min="147" max="147" width="21.42578125" bestFit="1" customWidth="1"/>
    <col min="148" max="148" width="15.5703125" bestFit="1" customWidth="1"/>
    <col min="149" max="149" width="28.42578125" bestFit="1" customWidth="1"/>
    <col min="150" max="150" width="20.42578125" bestFit="1" customWidth="1"/>
    <col min="151" max="151" width="28.42578125" bestFit="1" customWidth="1"/>
    <col min="152" max="152" width="49.42578125" bestFit="1" customWidth="1"/>
    <col min="153" max="153" width="28.5703125" bestFit="1" customWidth="1"/>
    <col min="154" max="154" width="16" bestFit="1" customWidth="1"/>
    <col min="155" max="155" width="21.5703125" bestFit="1" customWidth="1"/>
    <col min="156" max="156" width="18.5703125" bestFit="1" customWidth="1"/>
    <col min="157" max="157" width="59.5703125" bestFit="1" customWidth="1"/>
    <col min="158" max="158" width="15.42578125" bestFit="1" customWidth="1"/>
    <col min="159" max="159" width="11.42578125" bestFit="1" customWidth="1"/>
    <col min="160" max="160" width="72" bestFit="1" customWidth="1"/>
    <col min="161" max="161" width="84.5703125" bestFit="1" customWidth="1"/>
    <col min="162" max="162" width="63.42578125" bestFit="1" customWidth="1"/>
    <col min="163" max="163" width="31.5703125" bestFit="1" customWidth="1"/>
    <col min="164" max="164" width="59.5703125" bestFit="1" customWidth="1"/>
    <col min="165" max="165" width="15.42578125" bestFit="1" customWidth="1"/>
    <col min="166" max="166" width="26" bestFit="1" customWidth="1"/>
    <col min="167" max="167" width="21.5703125" bestFit="1" customWidth="1"/>
    <col min="168" max="168" width="10.5703125" bestFit="1" customWidth="1"/>
    <col min="169" max="169" width="29.42578125" bestFit="1" customWidth="1"/>
    <col min="170" max="170" width="17.5703125" bestFit="1" customWidth="1"/>
    <col min="171" max="171" width="69.42578125" bestFit="1" customWidth="1"/>
    <col min="172" max="172" width="65.5703125" bestFit="1" customWidth="1"/>
    <col min="173" max="173" width="40.42578125" bestFit="1" customWidth="1"/>
    <col min="174" max="174" width="81.5703125" bestFit="1" customWidth="1"/>
    <col min="175" max="175" width="43" bestFit="1" customWidth="1"/>
    <col min="176" max="176" width="17.42578125" bestFit="1" customWidth="1"/>
    <col min="177" max="177" width="16.42578125" bestFit="1" customWidth="1"/>
    <col min="178" max="178" width="13.42578125" bestFit="1" customWidth="1"/>
    <col min="179" max="179" width="35.5703125" bestFit="1" customWidth="1"/>
    <col min="180" max="180" width="16.5703125" bestFit="1" customWidth="1"/>
    <col min="181" max="181" width="20.5703125" bestFit="1" customWidth="1"/>
    <col min="182" max="182" width="15.5703125" bestFit="1" customWidth="1"/>
    <col min="183" max="183" width="33.42578125" bestFit="1" customWidth="1"/>
    <col min="184" max="184" width="28.5703125" bestFit="1" customWidth="1"/>
    <col min="185" max="185" width="33.5703125" bestFit="1" customWidth="1"/>
    <col min="186" max="186" width="21.5703125" bestFit="1" customWidth="1"/>
    <col min="187" max="187" width="14.42578125" bestFit="1" customWidth="1"/>
    <col min="188" max="188" width="34.5703125" bestFit="1" customWidth="1"/>
    <col min="189" max="189" width="31.42578125" bestFit="1" customWidth="1"/>
    <col min="190" max="190" width="28.5703125" bestFit="1" customWidth="1"/>
    <col min="191" max="191" width="18.5703125" bestFit="1" customWidth="1"/>
    <col min="192" max="192" width="25.5703125" bestFit="1" customWidth="1"/>
    <col min="193" max="193" width="27.5703125" bestFit="1" customWidth="1"/>
    <col min="194" max="194" width="18.5703125" bestFit="1" customWidth="1"/>
    <col min="195" max="195" width="15.42578125" bestFit="1" customWidth="1"/>
    <col min="196" max="196" width="21.5703125" bestFit="1" customWidth="1"/>
    <col min="197" max="197" width="17.5703125" bestFit="1" customWidth="1"/>
    <col min="198" max="198" width="13.5703125" bestFit="1" customWidth="1"/>
    <col min="199" max="199" width="21.5703125" bestFit="1" customWidth="1"/>
    <col min="200" max="200" width="68.42578125" bestFit="1" customWidth="1"/>
    <col min="201" max="201" width="30.5703125" bestFit="1" customWidth="1"/>
    <col min="202" max="202" width="44.5703125" bestFit="1" customWidth="1"/>
    <col min="203" max="203" width="25.5703125" bestFit="1" customWidth="1"/>
    <col min="204" max="204" width="45.42578125" bestFit="1" customWidth="1"/>
    <col min="205" max="205" width="21.5703125" bestFit="1" customWidth="1"/>
    <col min="206" max="206" width="23.5703125" bestFit="1" customWidth="1"/>
    <col min="207" max="207" width="29.5703125" bestFit="1" customWidth="1"/>
    <col min="208" max="208" width="17.5703125" bestFit="1" customWidth="1"/>
    <col min="209" max="209" width="23.42578125" bestFit="1" customWidth="1"/>
    <col min="210" max="210" width="14" bestFit="1" customWidth="1"/>
    <col min="211" max="211" width="39.5703125" bestFit="1" customWidth="1"/>
    <col min="212" max="212" width="16.42578125" bestFit="1" customWidth="1"/>
    <col min="213" max="213" width="29.42578125" bestFit="1" customWidth="1"/>
    <col min="214" max="214" width="44.5703125" bestFit="1" customWidth="1"/>
    <col min="215" max="215" width="23.5703125" bestFit="1" customWidth="1"/>
    <col min="216" max="216" width="86.42578125" bestFit="1" customWidth="1"/>
    <col min="217" max="217" width="22.5703125" bestFit="1" customWidth="1"/>
    <col min="218" max="218" width="25.42578125" bestFit="1" customWidth="1"/>
    <col min="219" max="219" width="10.5703125" bestFit="1" customWidth="1"/>
  </cols>
  <sheetData>
    <row r="1" spans="1:18" x14ac:dyDescent="0.25">
      <c r="A1" t="s">
        <v>0</v>
      </c>
    </row>
    <row r="2" spans="1:18" ht="60" x14ac:dyDescent="0.25">
      <c r="A2" s="2" t="s">
        <v>1</v>
      </c>
      <c r="B2" s="3" t="s">
        <v>2</v>
      </c>
      <c r="C2" s="3" t="s">
        <v>3</v>
      </c>
      <c r="D2" s="7" t="s">
        <v>16</v>
      </c>
      <c r="E2" s="7" t="s">
        <v>17</v>
      </c>
      <c r="F2" s="4" t="s">
        <v>4</v>
      </c>
      <c r="G2" s="4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/>
    </row>
    <row r="3" spans="1:18" x14ac:dyDescent="0.25">
      <c r="A3" t="str" cm="1">
        <f t="array" ref="A3:C228">_xlfn._xlws.SORT(_xlfn._xlws.FILTER('[1]RTO Register'!AA$3:AC$698,'[1]RTO Register'!T$3:T$698=A$1,""))</f>
        <v>0275</v>
      </c>
      <c r="B3" t="str">
        <v>TAFE Queensland</v>
      </c>
      <c r="C3" t="str">
        <v>TAFE Queensland</v>
      </c>
      <c r="D3" t="str">
        <f>VLOOKUP(A3,'[1]RTO Register'!AA$2:AH500,8,FALSE)</f>
        <v>4122</v>
      </c>
      <c r="E3" s="8" t="s">
        <v>18</v>
      </c>
      <c r="F3" s="1" t="str">
        <f>IFERROR(IF(R3=$L$2,"CRTD approved",""),"")</f>
        <v/>
      </c>
      <c r="G3" s="1" t="str">
        <f>IFERROR(IF(INDEX('[1]RTO Register'!AP$2:AP$698,MATCH($A3,'[1]RTO Register'!$AA$2:$AA$698,0))="Yes","School",""),"")</f>
        <v/>
      </c>
      <c r="H3" s="6">
        <f>INDEX('[1]RTO Register'!K$2:K$698,MATCH($A3,'[1]RTO Register'!$AA$2:$AA$698,0))</f>
        <v>43980</v>
      </c>
      <c r="I3" s="6">
        <f>INDEX('[1]RTO Register'!L$2:L$698,MATCH($A3,'[1]RTO Register'!$AA$2:$AA$698,0))</f>
        <v>1</v>
      </c>
      <c r="J3" s="6">
        <f>INDEX('[1]RTO Register'!M$2:M$698,MATCH($A3,'[1]RTO Register'!$AA$2:$AA$698,0))</f>
        <v>43981</v>
      </c>
      <c r="K3" s="6">
        <f>INDEX('[1]RTO Register'!N$2:N$698,MATCH($A3,'[1]RTO Register'!$AA$2:$AA$698,0))</f>
        <v>1</v>
      </c>
      <c r="L3" s="6">
        <f>INDEX('[1]RTO Register'!O$2:O$698,MATCH($A3,'[1]RTO Register'!$AA$2:$AA$698,0))</f>
        <v>1</v>
      </c>
      <c r="M3" s="6">
        <f>INDEX('[1]RTO Register'!P$2:P$698,MATCH($A3,'[1]RTO Register'!$AA$2:$AA$698,0))</f>
        <v>1</v>
      </c>
      <c r="N3" s="6">
        <f>INDEX('[1]RTO Register'!Q$2:Q$698,MATCH($A3,'[1]RTO Register'!$AA$2:$AA$698,0))</f>
        <v>1</v>
      </c>
      <c r="O3" s="6">
        <f>INDEX('[1]RTO Register'!R$2:R$698,MATCH($A3,'[1]RTO Register'!$AA$2:$AA$698,0))</f>
        <v>1</v>
      </c>
      <c r="P3" s="6">
        <f>INDEX('[1]RTO Register'!S$2:S$698,MATCH($A3,'[1]RTO Register'!$AA$2:$AA$698,0))</f>
        <v>1</v>
      </c>
      <c r="Q3" s="6">
        <f>MAX(H3:P3)</f>
        <v>43981</v>
      </c>
    </row>
    <row r="4" spans="1:18" x14ac:dyDescent="0.25">
      <c r="A4" t="str">
        <v>0328</v>
      </c>
      <c r="B4" t="str">
        <v>Trustee for the Salvation Army (NSW) Property Trust</v>
      </c>
      <c r="C4" t="str">
        <v>Eva Burrows College Vocational Training</v>
      </c>
      <c r="D4" t="str">
        <f>VLOOKUP(A4,'[1]RTO Register'!AA$2:AH501,8,FALSE)</f>
        <v>2150</v>
      </c>
      <c r="E4" s="8" t="s">
        <v>19</v>
      </c>
      <c r="F4" s="1" t="str">
        <f t="shared" ref="F4:F67" si="0">IFERROR(IF(R4=$L$2,"CRTD approved",""),"")</f>
        <v/>
      </c>
      <c r="G4" s="1" t="str">
        <f>IFERROR(IF(INDEX('[1]RTO Register'!AP$2:AP$698,MATCH($A4,'[1]RTO Register'!$AA$2:$AA$698,0))="Yes","School",""),"")</f>
        <v/>
      </c>
      <c r="H4" s="6">
        <f>INDEX('[1]RTO Register'!K$2:K$698,MATCH($A4,'[1]RTO Register'!$AA$2:$AA$698,0))</f>
        <v>1</v>
      </c>
      <c r="I4" s="6">
        <f>INDEX('[1]RTO Register'!L$2:L$698,MATCH($A4,'[1]RTO Register'!$AA$2:$AA$698,0))</f>
        <v>1</v>
      </c>
      <c r="J4" s="6">
        <f>INDEX('[1]RTO Register'!M$2:M$698,MATCH($A4,'[1]RTO Register'!$AA$2:$AA$698,0))</f>
        <v>1</v>
      </c>
      <c r="K4" s="6">
        <f>INDEX('[1]RTO Register'!N$2:N$698,MATCH($A4,'[1]RTO Register'!$AA$2:$AA$698,0))</f>
        <v>1</v>
      </c>
      <c r="L4" s="6">
        <f>INDEX('[1]RTO Register'!O$2:O$698,MATCH($A4,'[1]RTO Register'!$AA$2:$AA$698,0))</f>
        <v>1</v>
      </c>
      <c r="M4" s="6">
        <f>INDEX('[1]RTO Register'!P$2:P$698,MATCH($A4,'[1]RTO Register'!$AA$2:$AA$698,0))</f>
        <v>1</v>
      </c>
      <c r="N4" s="6">
        <f>INDEX('[1]RTO Register'!Q$2:Q$698,MATCH($A4,'[1]RTO Register'!$AA$2:$AA$698,0))</f>
        <v>1</v>
      </c>
      <c r="O4" s="6">
        <f>INDEX('[1]RTO Register'!R$2:R$698,MATCH($A4,'[1]RTO Register'!$AA$2:$AA$698,0))</f>
        <v>1</v>
      </c>
      <c r="P4" s="6">
        <f>INDEX('[1]RTO Register'!S$2:S$698,MATCH($A4,'[1]RTO Register'!$AA$2:$AA$698,0))</f>
        <v>1</v>
      </c>
      <c r="Q4" s="6">
        <f t="shared" ref="Q4:Q67" si="1">MAX(H4:P4)</f>
        <v>1</v>
      </c>
    </row>
    <row r="5" spans="1:18" x14ac:dyDescent="0.25">
      <c r="A5" t="str">
        <v>0677</v>
      </c>
      <c r="B5" t="str">
        <v>Wynnum Manly Employment and Training Assoc Inc</v>
      </c>
      <c r="C5" t="str">
        <v>N/A</v>
      </c>
      <c r="D5" t="str">
        <f>VLOOKUP(A5,'[1]RTO Register'!AA$2:AH502,8,FALSE)</f>
        <v>4179</v>
      </c>
      <c r="E5" s="8" t="s">
        <v>20</v>
      </c>
      <c r="F5" s="1" t="str">
        <f t="shared" si="0"/>
        <v/>
      </c>
      <c r="G5" s="1" t="str">
        <f>IFERROR(IF(INDEX('[1]RTO Register'!AP$2:AP$698,MATCH($A5,'[1]RTO Register'!$AA$2:$AA$698,0))="Yes","School",""),"")</f>
        <v/>
      </c>
      <c r="H5" s="6">
        <f>INDEX('[1]RTO Register'!K$2:K$698,MATCH($A5,'[1]RTO Register'!$AA$2:$AA$698,0))</f>
        <v>1</v>
      </c>
      <c r="I5" s="6">
        <f>INDEX('[1]RTO Register'!L$2:L$698,MATCH($A5,'[1]RTO Register'!$AA$2:$AA$698,0))</f>
        <v>1</v>
      </c>
      <c r="J5" s="6">
        <f>INDEX('[1]RTO Register'!M$2:M$698,MATCH($A5,'[1]RTO Register'!$AA$2:$AA$698,0))</f>
        <v>1</v>
      </c>
      <c r="K5" s="6">
        <f>INDEX('[1]RTO Register'!N$2:N$698,MATCH($A5,'[1]RTO Register'!$AA$2:$AA$698,0))</f>
        <v>1</v>
      </c>
      <c r="L5" s="6">
        <f>INDEX('[1]RTO Register'!O$2:O$698,MATCH($A5,'[1]RTO Register'!$AA$2:$AA$698,0))</f>
        <v>1</v>
      </c>
      <c r="M5" s="6">
        <f>INDEX('[1]RTO Register'!P$2:P$698,MATCH($A5,'[1]RTO Register'!$AA$2:$AA$698,0))</f>
        <v>1</v>
      </c>
      <c r="N5" s="6">
        <f>INDEX('[1]RTO Register'!Q$2:Q$698,MATCH($A5,'[1]RTO Register'!$AA$2:$AA$698,0))</f>
        <v>1</v>
      </c>
      <c r="O5" s="6">
        <f>INDEX('[1]RTO Register'!R$2:R$698,MATCH($A5,'[1]RTO Register'!$AA$2:$AA$698,0))</f>
        <v>1</v>
      </c>
      <c r="P5" s="6">
        <f>INDEX('[1]RTO Register'!S$2:S$698,MATCH($A5,'[1]RTO Register'!$AA$2:$AA$698,0))</f>
        <v>1</v>
      </c>
      <c r="Q5" s="6">
        <f t="shared" si="1"/>
        <v>1</v>
      </c>
    </row>
    <row r="6" spans="1:18" x14ac:dyDescent="0.25">
      <c r="A6" t="str">
        <v>0678</v>
      </c>
      <c r="B6" t="str">
        <v>Guardrite Security and Industry Training Pty Ltd</v>
      </c>
      <c r="C6" t="str">
        <v>Gold Coast General Business Training</v>
      </c>
      <c r="D6" t="str">
        <f>VLOOKUP(A6,'[1]RTO Register'!AA$2:AH503,8,FALSE)</f>
        <v>2011</v>
      </c>
      <c r="E6" s="8" t="s">
        <v>21</v>
      </c>
      <c r="F6" s="1" t="str">
        <f t="shared" si="0"/>
        <v/>
      </c>
      <c r="G6" s="1" t="str">
        <f>IFERROR(IF(INDEX('[1]RTO Register'!AP$2:AP$698,MATCH($A6,'[1]RTO Register'!$AA$2:$AA$698,0))="Yes","School",""),"")</f>
        <v/>
      </c>
      <c r="H6" s="6">
        <f>INDEX('[1]RTO Register'!K$2:K$698,MATCH($A6,'[1]RTO Register'!$AA$2:$AA$698,0))</f>
        <v>1</v>
      </c>
      <c r="I6" s="6">
        <f>INDEX('[1]RTO Register'!L$2:L$698,MATCH($A6,'[1]RTO Register'!$AA$2:$AA$698,0))</f>
        <v>1</v>
      </c>
      <c r="J6" s="6">
        <f>INDEX('[1]RTO Register'!M$2:M$698,MATCH($A6,'[1]RTO Register'!$AA$2:$AA$698,0))</f>
        <v>1</v>
      </c>
      <c r="K6" s="6">
        <f>INDEX('[1]RTO Register'!N$2:N$698,MATCH($A6,'[1]RTO Register'!$AA$2:$AA$698,0))</f>
        <v>1</v>
      </c>
      <c r="L6" s="6">
        <f>INDEX('[1]RTO Register'!O$2:O$698,MATCH($A6,'[1]RTO Register'!$AA$2:$AA$698,0))</f>
        <v>1</v>
      </c>
      <c r="M6" s="6">
        <f>INDEX('[1]RTO Register'!P$2:P$698,MATCH($A6,'[1]RTO Register'!$AA$2:$AA$698,0))</f>
        <v>1</v>
      </c>
      <c r="N6" s="6">
        <f>INDEX('[1]RTO Register'!Q$2:Q$698,MATCH($A6,'[1]RTO Register'!$AA$2:$AA$698,0))</f>
        <v>1</v>
      </c>
      <c r="O6" s="6">
        <f>INDEX('[1]RTO Register'!R$2:R$698,MATCH($A6,'[1]RTO Register'!$AA$2:$AA$698,0))</f>
        <v>1</v>
      </c>
      <c r="P6" s="6">
        <f>INDEX('[1]RTO Register'!S$2:S$698,MATCH($A6,'[1]RTO Register'!$AA$2:$AA$698,0))</f>
        <v>1</v>
      </c>
      <c r="Q6" s="6">
        <f t="shared" si="1"/>
        <v>1</v>
      </c>
    </row>
    <row r="7" spans="1:18" x14ac:dyDescent="0.25">
      <c r="A7" t="str">
        <v>0686</v>
      </c>
      <c r="B7" t="str">
        <v>Australian Training Academy Pty. Ltd.</v>
      </c>
      <c r="C7" t="str">
        <v>Australian Training Academy Pty Ltd</v>
      </c>
      <c r="D7" t="str">
        <f>VLOOKUP(A7,'[1]RTO Register'!AA$2:AH504,8,FALSE)</f>
        <v>4129</v>
      </c>
      <c r="E7" s="8" t="s">
        <v>22</v>
      </c>
      <c r="F7" s="1" t="str">
        <f t="shared" si="0"/>
        <v/>
      </c>
      <c r="G7" s="1" t="str">
        <f>IFERROR(IF(INDEX('[1]RTO Register'!AP$2:AP$698,MATCH($A7,'[1]RTO Register'!$AA$2:$AA$698,0))="Yes","School",""),"")</f>
        <v/>
      </c>
      <c r="H7" s="6">
        <f>INDEX('[1]RTO Register'!K$2:K$698,MATCH($A7,'[1]RTO Register'!$AA$2:$AA$698,0))</f>
        <v>1</v>
      </c>
      <c r="I7" s="6">
        <f>INDEX('[1]RTO Register'!L$2:L$698,MATCH($A7,'[1]RTO Register'!$AA$2:$AA$698,0))</f>
        <v>1</v>
      </c>
      <c r="J7" s="6">
        <f>INDEX('[1]RTO Register'!M$2:M$698,MATCH($A7,'[1]RTO Register'!$AA$2:$AA$698,0))</f>
        <v>1</v>
      </c>
      <c r="K7" s="6">
        <f>INDEX('[1]RTO Register'!N$2:N$698,MATCH($A7,'[1]RTO Register'!$AA$2:$AA$698,0))</f>
        <v>1</v>
      </c>
      <c r="L7" s="6">
        <f>INDEX('[1]RTO Register'!O$2:O$698,MATCH($A7,'[1]RTO Register'!$AA$2:$AA$698,0))</f>
        <v>1</v>
      </c>
      <c r="M7" s="6">
        <f>INDEX('[1]RTO Register'!P$2:P$698,MATCH($A7,'[1]RTO Register'!$AA$2:$AA$698,0))</f>
        <v>1</v>
      </c>
      <c r="N7" s="6">
        <f>INDEX('[1]RTO Register'!Q$2:Q$698,MATCH($A7,'[1]RTO Register'!$AA$2:$AA$698,0))</f>
        <v>1</v>
      </c>
      <c r="O7" s="6">
        <f>INDEX('[1]RTO Register'!R$2:R$698,MATCH($A7,'[1]RTO Register'!$AA$2:$AA$698,0))</f>
        <v>1</v>
      </c>
      <c r="P7" s="6">
        <f>INDEX('[1]RTO Register'!S$2:S$698,MATCH($A7,'[1]RTO Register'!$AA$2:$AA$698,0))</f>
        <v>1</v>
      </c>
      <c r="Q7" s="6">
        <f t="shared" si="1"/>
        <v>1</v>
      </c>
    </row>
    <row r="8" spans="1:18" x14ac:dyDescent="0.25">
      <c r="A8" t="str">
        <v>0699</v>
      </c>
      <c r="B8" t="str">
        <v>CSTC Pty Ltd</v>
      </c>
      <c r="C8" t="str">
        <v>Construction Skills Training Centre</v>
      </c>
      <c r="D8" t="str">
        <f>VLOOKUP(A8,'[1]RTO Register'!AA$2:AH505,8,FALSE)</f>
        <v>4108</v>
      </c>
      <c r="E8" s="8" t="s">
        <v>23</v>
      </c>
      <c r="F8" s="1" t="str">
        <f t="shared" si="0"/>
        <v/>
      </c>
      <c r="G8" s="1" t="str">
        <f>IFERROR(IF(INDEX('[1]RTO Register'!AP$2:AP$698,MATCH($A8,'[1]RTO Register'!$AA$2:$AA$698,0))="Yes","School",""),"")</f>
        <v/>
      </c>
      <c r="H8" s="6">
        <f>INDEX('[1]RTO Register'!K$2:K$698,MATCH($A8,'[1]RTO Register'!$AA$2:$AA$698,0))</f>
        <v>1</v>
      </c>
      <c r="I8" s="6">
        <f>INDEX('[1]RTO Register'!L$2:L$698,MATCH($A8,'[1]RTO Register'!$AA$2:$AA$698,0))</f>
        <v>1</v>
      </c>
      <c r="J8" s="6">
        <f>INDEX('[1]RTO Register'!M$2:M$698,MATCH($A8,'[1]RTO Register'!$AA$2:$AA$698,0))</f>
        <v>1</v>
      </c>
      <c r="K8" s="6">
        <f>INDEX('[1]RTO Register'!N$2:N$698,MATCH($A8,'[1]RTO Register'!$AA$2:$AA$698,0))</f>
        <v>1</v>
      </c>
      <c r="L8" s="6">
        <f>INDEX('[1]RTO Register'!O$2:O$698,MATCH($A8,'[1]RTO Register'!$AA$2:$AA$698,0))</f>
        <v>1</v>
      </c>
      <c r="M8" s="6">
        <f>INDEX('[1]RTO Register'!P$2:P$698,MATCH($A8,'[1]RTO Register'!$AA$2:$AA$698,0))</f>
        <v>1</v>
      </c>
      <c r="N8" s="6">
        <f>INDEX('[1]RTO Register'!Q$2:Q$698,MATCH($A8,'[1]RTO Register'!$AA$2:$AA$698,0))</f>
        <v>1</v>
      </c>
      <c r="O8" s="6">
        <f>INDEX('[1]RTO Register'!R$2:R$698,MATCH($A8,'[1]RTO Register'!$AA$2:$AA$698,0))</f>
        <v>1</v>
      </c>
      <c r="P8" s="6">
        <f>INDEX('[1]RTO Register'!S$2:S$698,MATCH($A8,'[1]RTO Register'!$AA$2:$AA$698,0))</f>
        <v>1</v>
      </c>
      <c r="Q8" s="6">
        <f t="shared" si="1"/>
        <v>1</v>
      </c>
    </row>
    <row r="9" spans="1:18" x14ac:dyDescent="0.25">
      <c r="A9" t="str">
        <v>0709</v>
      </c>
      <c r="B9" t="str">
        <v>Skill Centred Queensland Incorporated</v>
      </c>
      <c r="C9" t="str">
        <v>Skill Centred</v>
      </c>
      <c r="D9" t="str">
        <f>VLOOKUP(A9,'[1]RTO Register'!AA$2:AH506,8,FALSE)</f>
        <v>4570</v>
      </c>
      <c r="E9" s="8" t="s">
        <v>24</v>
      </c>
      <c r="F9" s="1" t="str">
        <f t="shared" si="0"/>
        <v/>
      </c>
      <c r="G9" s="1" t="str">
        <f>IFERROR(IF(INDEX('[1]RTO Register'!AP$2:AP$698,MATCH($A9,'[1]RTO Register'!$AA$2:$AA$698,0))="Yes","School",""),"")</f>
        <v/>
      </c>
      <c r="H9" s="6">
        <f>INDEX('[1]RTO Register'!K$2:K$698,MATCH($A9,'[1]RTO Register'!$AA$2:$AA$698,0))</f>
        <v>1</v>
      </c>
      <c r="I9" s="6">
        <f>INDEX('[1]RTO Register'!L$2:L$698,MATCH($A9,'[1]RTO Register'!$AA$2:$AA$698,0))</f>
        <v>1</v>
      </c>
      <c r="J9" s="6">
        <f>INDEX('[1]RTO Register'!M$2:M$698,MATCH($A9,'[1]RTO Register'!$AA$2:$AA$698,0))</f>
        <v>1</v>
      </c>
      <c r="K9" s="6">
        <f>INDEX('[1]RTO Register'!N$2:N$698,MATCH($A9,'[1]RTO Register'!$AA$2:$AA$698,0))</f>
        <v>1</v>
      </c>
      <c r="L9" s="6">
        <f>INDEX('[1]RTO Register'!O$2:O$698,MATCH($A9,'[1]RTO Register'!$AA$2:$AA$698,0))</f>
        <v>1</v>
      </c>
      <c r="M9" s="6">
        <f>INDEX('[1]RTO Register'!P$2:P$698,MATCH($A9,'[1]RTO Register'!$AA$2:$AA$698,0))</f>
        <v>1</v>
      </c>
      <c r="N9" s="6">
        <f>INDEX('[1]RTO Register'!Q$2:Q$698,MATCH($A9,'[1]RTO Register'!$AA$2:$AA$698,0))</f>
        <v>1</v>
      </c>
      <c r="O9" s="6">
        <f>INDEX('[1]RTO Register'!R$2:R$698,MATCH($A9,'[1]RTO Register'!$AA$2:$AA$698,0))</f>
        <v>1</v>
      </c>
      <c r="P9" s="6">
        <f>INDEX('[1]RTO Register'!S$2:S$698,MATCH($A9,'[1]RTO Register'!$AA$2:$AA$698,0))</f>
        <v>1</v>
      </c>
      <c r="Q9" s="6">
        <f t="shared" si="1"/>
        <v>1</v>
      </c>
    </row>
    <row r="10" spans="1:18" x14ac:dyDescent="0.25">
      <c r="A10" t="str">
        <v>1044</v>
      </c>
      <c r="B10" t="str">
        <v>Skills Training And Placement People Inc</v>
      </c>
      <c r="C10" t="str">
        <v>Rexcel Training</v>
      </c>
      <c r="D10" t="str">
        <f>VLOOKUP(A10,'[1]RTO Register'!AA$2:AH507,8,FALSE)</f>
        <v>5000</v>
      </c>
      <c r="E10" s="8" t="s">
        <v>25</v>
      </c>
      <c r="F10" s="1" t="str">
        <f t="shared" si="0"/>
        <v/>
      </c>
      <c r="G10" s="1" t="str">
        <f>IFERROR(IF(INDEX('[1]RTO Register'!AP$2:AP$698,MATCH($A10,'[1]RTO Register'!$AA$2:$AA$698,0))="Yes","School",""),"")</f>
        <v/>
      </c>
      <c r="H10" s="6">
        <f>INDEX('[1]RTO Register'!K$2:K$698,MATCH($A10,'[1]RTO Register'!$AA$2:$AA$698,0))</f>
        <v>1</v>
      </c>
      <c r="I10" s="6">
        <f>INDEX('[1]RTO Register'!L$2:L$698,MATCH($A10,'[1]RTO Register'!$AA$2:$AA$698,0))</f>
        <v>1</v>
      </c>
      <c r="J10" s="6">
        <f>INDEX('[1]RTO Register'!M$2:M$698,MATCH($A10,'[1]RTO Register'!$AA$2:$AA$698,0))</f>
        <v>1</v>
      </c>
      <c r="K10" s="6">
        <f>INDEX('[1]RTO Register'!N$2:N$698,MATCH($A10,'[1]RTO Register'!$AA$2:$AA$698,0))</f>
        <v>1</v>
      </c>
      <c r="L10" s="6">
        <f>INDEX('[1]RTO Register'!O$2:O$698,MATCH($A10,'[1]RTO Register'!$AA$2:$AA$698,0))</f>
        <v>1</v>
      </c>
      <c r="M10" s="6">
        <f>INDEX('[1]RTO Register'!P$2:P$698,MATCH($A10,'[1]RTO Register'!$AA$2:$AA$698,0))</f>
        <v>1</v>
      </c>
      <c r="N10" s="6">
        <f>INDEX('[1]RTO Register'!Q$2:Q$698,MATCH($A10,'[1]RTO Register'!$AA$2:$AA$698,0))</f>
        <v>1</v>
      </c>
      <c r="O10" s="6">
        <f>INDEX('[1]RTO Register'!R$2:R$698,MATCH($A10,'[1]RTO Register'!$AA$2:$AA$698,0))</f>
        <v>1</v>
      </c>
      <c r="P10" s="6">
        <f>INDEX('[1]RTO Register'!S$2:S$698,MATCH($A10,'[1]RTO Register'!$AA$2:$AA$698,0))</f>
        <v>1</v>
      </c>
      <c r="Q10" s="6">
        <f t="shared" si="1"/>
        <v>1</v>
      </c>
    </row>
    <row r="11" spans="1:18" x14ac:dyDescent="0.25">
      <c r="A11" t="str">
        <v>1091</v>
      </c>
      <c r="B11" t="str">
        <v>Housing Industry Association Ltd</v>
      </c>
      <c r="C11" t="str">
        <v>Housing Industry Association Ltd</v>
      </c>
      <c r="D11" t="str">
        <f>VLOOKUP(A11,'[1]RTO Register'!AA$2:AH508,8,FALSE)</f>
        <v>3121</v>
      </c>
      <c r="E11" s="8" t="s">
        <v>26</v>
      </c>
      <c r="F11" s="1" t="str">
        <f t="shared" si="0"/>
        <v/>
      </c>
      <c r="G11" s="1" t="str">
        <f>IFERROR(IF(INDEX('[1]RTO Register'!AP$2:AP$698,MATCH($A11,'[1]RTO Register'!$AA$2:$AA$698,0))="Yes","School",""),"")</f>
        <v/>
      </c>
      <c r="H11" s="6">
        <f>INDEX('[1]RTO Register'!K$2:K$698,MATCH($A11,'[1]RTO Register'!$AA$2:$AA$698,0))</f>
        <v>1</v>
      </c>
      <c r="I11" s="6">
        <f>INDEX('[1]RTO Register'!L$2:L$698,MATCH($A11,'[1]RTO Register'!$AA$2:$AA$698,0))</f>
        <v>1</v>
      </c>
      <c r="J11" s="6">
        <f>INDEX('[1]RTO Register'!M$2:M$698,MATCH($A11,'[1]RTO Register'!$AA$2:$AA$698,0))</f>
        <v>1</v>
      </c>
      <c r="K11" s="6">
        <f>INDEX('[1]RTO Register'!N$2:N$698,MATCH($A11,'[1]RTO Register'!$AA$2:$AA$698,0))</f>
        <v>1</v>
      </c>
      <c r="L11" s="6">
        <f>INDEX('[1]RTO Register'!O$2:O$698,MATCH($A11,'[1]RTO Register'!$AA$2:$AA$698,0))</f>
        <v>1</v>
      </c>
      <c r="M11" s="6">
        <f>INDEX('[1]RTO Register'!P$2:P$698,MATCH($A11,'[1]RTO Register'!$AA$2:$AA$698,0))</f>
        <v>1</v>
      </c>
      <c r="N11" s="6">
        <f>INDEX('[1]RTO Register'!Q$2:Q$698,MATCH($A11,'[1]RTO Register'!$AA$2:$AA$698,0))</f>
        <v>1</v>
      </c>
      <c r="O11" s="6">
        <f>INDEX('[1]RTO Register'!R$2:R$698,MATCH($A11,'[1]RTO Register'!$AA$2:$AA$698,0))</f>
        <v>1</v>
      </c>
      <c r="P11" s="6">
        <f>INDEX('[1]RTO Register'!S$2:S$698,MATCH($A11,'[1]RTO Register'!$AA$2:$AA$698,0))</f>
        <v>1</v>
      </c>
      <c r="Q11" s="6">
        <f t="shared" si="1"/>
        <v>1</v>
      </c>
    </row>
    <row r="12" spans="1:18" x14ac:dyDescent="0.25">
      <c r="A12" t="str">
        <v>110029</v>
      </c>
      <c r="B12" t="str">
        <v>Baseline Training Pty Ltd</v>
      </c>
      <c r="C12" t="str">
        <v>N/A</v>
      </c>
      <c r="D12" t="str">
        <f>VLOOKUP(A12,'[1]RTO Register'!AA$2:AH509,8,FALSE)</f>
        <v>4008</v>
      </c>
      <c r="E12" s="8" t="s">
        <v>27</v>
      </c>
      <c r="F12" s="1" t="str">
        <f t="shared" si="0"/>
        <v/>
      </c>
      <c r="G12" s="1" t="str">
        <f>IFERROR(IF(INDEX('[1]RTO Register'!AP$2:AP$698,MATCH($A12,'[1]RTO Register'!$AA$2:$AA$698,0))="Yes","School",""),"")</f>
        <v/>
      </c>
      <c r="H12" s="6">
        <f>INDEX('[1]RTO Register'!K$2:K$698,MATCH($A12,'[1]RTO Register'!$AA$2:$AA$698,0))</f>
        <v>1</v>
      </c>
      <c r="I12" s="6">
        <f>INDEX('[1]RTO Register'!L$2:L$698,MATCH($A12,'[1]RTO Register'!$AA$2:$AA$698,0))</f>
        <v>1</v>
      </c>
      <c r="J12" s="6">
        <f>INDEX('[1]RTO Register'!M$2:M$698,MATCH($A12,'[1]RTO Register'!$AA$2:$AA$698,0))</f>
        <v>1</v>
      </c>
      <c r="K12" s="6">
        <f>INDEX('[1]RTO Register'!N$2:N$698,MATCH($A12,'[1]RTO Register'!$AA$2:$AA$698,0))</f>
        <v>1</v>
      </c>
      <c r="L12" s="6">
        <f>INDEX('[1]RTO Register'!O$2:O$698,MATCH($A12,'[1]RTO Register'!$AA$2:$AA$698,0))</f>
        <v>1</v>
      </c>
      <c r="M12" s="6">
        <f>INDEX('[1]RTO Register'!P$2:P$698,MATCH($A12,'[1]RTO Register'!$AA$2:$AA$698,0))</f>
        <v>1</v>
      </c>
      <c r="N12" s="6">
        <f>INDEX('[1]RTO Register'!Q$2:Q$698,MATCH($A12,'[1]RTO Register'!$AA$2:$AA$698,0))</f>
        <v>1</v>
      </c>
      <c r="O12" s="6">
        <f>INDEX('[1]RTO Register'!R$2:R$698,MATCH($A12,'[1]RTO Register'!$AA$2:$AA$698,0))</f>
        <v>1</v>
      </c>
      <c r="P12" s="6">
        <f>INDEX('[1]RTO Register'!S$2:S$698,MATCH($A12,'[1]RTO Register'!$AA$2:$AA$698,0))</f>
        <v>1</v>
      </c>
      <c r="Q12" s="6">
        <f t="shared" si="1"/>
        <v>1</v>
      </c>
    </row>
    <row r="13" spans="1:18" x14ac:dyDescent="0.25">
      <c r="A13" t="str">
        <v>140100</v>
      </c>
      <c r="B13" t="str">
        <v>Carey Training Pty Ltd</v>
      </c>
      <c r="C13" t="str">
        <v>AWC Training</v>
      </c>
      <c r="D13" t="str">
        <f>VLOOKUP(A13,'[1]RTO Register'!AA$2:AH510,8,FALSE)</f>
        <v>5033</v>
      </c>
      <c r="E13" s="8" t="s">
        <v>28</v>
      </c>
      <c r="F13" s="1" t="str">
        <f t="shared" si="0"/>
        <v/>
      </c>
      <c r="G13" s="1" t="str">
        <f>IFERROR(IF(INDEX('[1]RTO Register'!AP$2:AP$698,MATCH($A13,'[1]RTO Register'!$AA$2:$AA$698,0))="Yes","School",""),"")</f>
        <v/>
      </c>
      <c r="H13" s="6">
        <f>INDEX('[1]RTO Register'!K$2:K$698,MATCH($A13,'[1]RTO Register'!$AA$2:$AA$698,0))</f>
        <v>1</v>
      </c>
      <c r="I13" s="6">
        <f>INDEX('[1]RTO Register'!L$2:L$698,MATCH($A13,'[1]RTO Register'!$AA$2:$AA$698,0))</f>
        <v>1</v>
      </c>
      <c r="J13" s="6">
        <f>INDEX('[1]RTO Register'!M$2:M$698,MATCH($A13,'[1]RTO Register'!$AA$2:$AA$698,0))</f>
        <v>1</v>
      </c>
      <c r="K13" s="6">
        <f>INDEX('[1]RTO Register'!N$2:N$698,MATCH($A13,'[1]RTO Register'!$AA$2:$AA$698,0))</f>
        <v>1</v>
      </c>
      <c r="L13" s="6">
        <f>INDEX('[1]RTO Register'!O$2:O$698,MATCH($A13,'[1]RTO Register'!$AA$2:$AA$698,0))</f>
        <v>1</v>
      </c>
      <c r="M13" s="6">
        <f>INDEX('[1]RTO Register'!P$2:P$698,MATCH($A13,'[1]RTO Register'!$AA$2:$AA$698,0))</f>
        <v>1</v>
      </c>
      <c r="N13" s="6">
        <f>INDEX('[1]RTO Register'!Q$2:Q$698,MATCH($A13,'[1]RTO Register'!$AA$2:$AA$698,0))</f>
        <v>1</v>
      </c>
      <c r="O13" s="6">
        <f>INDEX('[1]RTO Register'!R$2:R$698,MATCH($A13,'[1]RTO Register'!$AA$2:$AA$698,0))</f>
        <v>1</v>
      </c>
      <c r="P13" s="6">
        <f>INDEX('[1]RTO Register'!S$2:S$698,MATCH($A13,'[1]RTO Register'!$AA$2:$AA$698,0))</f>
        <v>1</v>
      </c>
      <c r="Q13" s="6">
        <f t="shared" si="1"/>
        <v>1</v>
      </c>
    </row>
    <row r="14" spans="1:18" x14ac:dyDescent="0.25">
      <c r="A14" t="str">
        <v>1607</v>
      </c>
      <c r="B14" t="str">
        <v>Skill360 Australia Pty Ltd</v>
      </c>
      <c r="C14" t="str">
        <v>Slill360 Australia</v>
      </c>
      <c r="D14" t="str">
        <f>VLOOKUP(A14,'[1]RTO Register'!AA$2:AH511,8,FALSE)</f>
        <v>4870</v>
      </c>
      <c r="E14" s="8" t="s">
        <v>29</v>
      </c>
      <c r="F14" s="1" t="str">
        <f t="shared" si="0"/>
        <v/>
      </c>
      <c r="G14" s="1" t="str">
        <f>IFERROR(IF(INDEX('[1]RTO Register'!AP$2:AP$698,MATCH($A14,'[1]RTO Register'!$AA$2:$AA$698,0))="Yes","School",""),"")</f>
        <v/>
      </c>
      <c r="H14" s="6">
        <f>INDEX('[1]RTO Register'!K$2:K$698,MATCH($A14,'[1]RTO Register'!$AA$2:$AA$698,0))</f>
        <v>1</v>
      </c>
      <c r="I14" s="6">
        <f>INDEX('[1]RTO Register'!L$2:L$698,MATCH($A14,'[1]RTO Register'!$AA$2:$AA$698,0))</f>
        <v>1</v>
      </c>
      <c r="J14" s="6">
        <f>INDEX('[1]RTO Register'!M$2:M$698,MATCH($A14,'[1]RTO Register'!$AA$2:$AA$698,0))</f>
        <v>1</v>
      </c>
      <c r="K14" s="6">
        <f>INDEX('[1]RTO Register'!N$2:N$698,MATCH($A14,'[1]RTO Register'!$AA$2:$AA$698,0))</f>
        <v>1</v>
      </c>
      <c r="L14" s="6">
        <f>INDEX('[1]RTO Register'!O$2:O$698,MATCH($A14,'[1]RTO Register'!$AA$2:$AA$698,0))</f>
        <v>1</v>
      </c>
      <c r="M14" s="6">
        <f>INDEX('[1]RTO Register'!P$2:P$698,MATCH($A14,'[1]RTO Register'!$AA$2:$AA$698,0))</f>
        <v>1</v>
      </c>
      <c r="N14" s="6">
        <f>INDEX('[1]RTO Register'!Q$2:Q$698,MATCH($A14,'[1]RTO Register'!$AA$2:$AA$698,0))</f>
        <v>1</v>
      </c>
      <c r="O14" s="6">
        <f>INDEX('[1]RTO Register'!R$2:R$698,MATCH($A14,'[1]RTO Register'!$AA$2:$AA$698,0))</f>
        <v>1</v>
      </c>
      <c r="P14" s="6">
        <f>INDEX('[1]RTO Register'!S$2:S$698,MATCH($A14,'[1]RTO Register'!$AA$2:$AA$698,0))</f>
        <v>1</v>
      </c>
      <c r="Q14" s="6">
        <f t="shared" si="1"/>
        <v>1</v>
      </c>
    </row>
    <row r="15" spans="1:18" x14ac:dyDescent="0.25">
      <c r="A15" t="str">
        <v>1709</v>
      </c>
      <c r="B15" t="str">
        <v>John &amp; Mary Ivanov Consolidated</v>
      </c>
      <c r="C15" t="str">
        <v>North Queensland Security Training Academy</v>
      </c>
      <c r="D15" t="str">
        <f>VLOOKUP(A15,'[1]RTO Register'!AA$2:AH512,8,FALSE)</f>
        <v>4814</v>
      </c>
      <c r="E15" s="8" t="s">
        <v>30</v>
      </c>
      <c r="F15" s="1" t="str">
        <f t="shared" si="0"/>
        <v/>
      </c>
      <c r="G15" s="1" t="str">
        <f>IFERROR(IF(INDEX('[1]RTO Register'!AP$2:AP$698,MATCH($A15,'[1]RTO Register'!$AA$2:$AA$698,0))="Yes","School",""),"")</f>
        <v/>
      </c>
      <c r="H15" s="6">
        <f>INDEX('[1]RTO Register'!K$2:K$698,MATCH($A15,'[1]RTO Register'!$AA$2:$AA$698,0))</f>
        <v>1</v>
      </c>
      <c r="I15" s="6">
        <f>INDEX('[1]RTO Register'!L$2:L$698,MATCH($A15,'[1]RTO Register'!$AA$2:$AA$698,0))</f>
        <v>1</v>
      </c>
      <c r="J15" s="6">
        <f>INDEX('[1]RTO Register'!M$2:M$698,MATCH($A15,'[1]RTO Register'!$AA$2:$AA$698,0))</f>
        <v>1</v>
      </c>
      <c r="K15" s="6">
        <f>INDEX('[1]RTO Register'!N$2:N$698,MATCH($A15,'[1]RTO Register'!$AA$2:$AA$698,0))</f>
        <v>1</v>
      </c>
      <c r="L15" s="6">
        <f>INDEX('[1]RTO Register'!O$2:O$698,MATCH($A15,'[1]RTO Register'!$AA$2:$AA$698,0))</f>
        <v>1</v>
      </c>
      <c r="M15" s="6">
        <f>INDEX('[1]RTO Register'!P$2:P$698,MATCH($A15,'[1]RTO Register'!$AA$2:$AA$698,0))</f>
        <v>1</v>
      </c>
      <c r="N15" s="6">
        <f>INDEX('[1]RTO Register'!Q$2:Q$698,MATCH($A15,'[1]RTO Register'!$AA$2:$AA$698,0))</f>
        <v>1</v>
      </c>
      <c r="O15" s="6">
        <f>INDEX('[1]RTO Register'!R$2:R$698,MATCH($A15,'[1]RTO Register'!$AA$2:$AA$698,0))</f>
        <v>1</v>
      </c>
      <c r="P15" s="6">
        <f>INDEX('[1]RTO Register'!S$2:S$698,MATCH($A15,'[1]RTO Register'!$AA$2:$AA$698,0))</f>
        <v>1</v>
      </c>
      <c r="Q15" s="6">
        <f t="shared" si="1"/>
        <v>1</v>
      </c>
    </row>
    <row r="16" spans="1:18" x14ac:dyDescent="0.25">
      <c r="A16" t="str">
        <v>1826</v>
      </c>
      <c r="B16" t="str">
        <v>Fraser Coast - Training Employment Support Service Inc</v>
      </c>
      <c r="C16" t="str">
        <v>Training Employment Support Service Inc</v>
      </c>
      <c r="D16" t="str">
        <f>VLOOKUP(A16,'[1]RTO Register'!AA$2:AH513,8,FALSE)</f>
        <v>4650</v>
      </c>
      <c r="E16" s="8" t="s">
        <v>31</v>
      </c>
      <c r="F16" s="1" t="str">
        <f t="shared" si="0"/>
        <v/>
      </c>
      <c r="G16" s="1" t="str">
        <f>IFERROR(IF(INDEX('[1]RTO Register'!AP$2:AP$698,MATCH($A16,'[1]RTO Register'!$AA$2:$AA$698,0))="Yes","School",""),"")</f>
        <v/>
      </c>
      <c r="H16" s="6">
        <f>INDEX('[1]RTO Register'!K$2:K$698,MATCH($A16,'[1]RTO Register'!$AA$2:$AA$698,0))</f>
        <v>1</v>
      </c>
      <c r="I16" s="6">
        <f>INDEX('[1]RTO Register'!L$2:L$698,MATCH($A16,'[1]RTO Register'!$AA$2:$AA$698,0))</f>
        <v>1</v>
      </c>
      <c r="J16" s="6">
        <f>INDEX('[1]RTO Register'!M$2:M$698,MATCH($A16,'[1]RTO Register'!$AA$2:$AA$698,0))</f>
        <v>1</v>
      </c>
      <c r="K16" s="6">
        <f>INDEX('[1]RTO Register'!N$2:N$698,MATCH($A16,'[1]RTO Register'!$AA$2:$AA$698,0))</f>
        <v>1</v>
      </c>
      <c r="L16" s="6">
        <f>INDEX('[1]RTO Register'!O$2:O$698,MATCH($A16,'[1]RTO Register'!$AA$2:$AA$698,0))</f>
        <v>1</v>
      </c>
      <c r="M16" s="6">
        <f>INDEX('[1]RTO Register'!P$2:P$698,MATCH($A16,'[1]RTO Register'!$AA$2:$AA$698,0))</f>
        <v>1</v>
      </c>
      <c r="N16" s="6">
        <f>INDEX('[1]RTO Register'!Q$2:Q$698,MATCH($A16,'[1]RTO Register'!$AA$2:$AA$698,0))</f>
        <v>1</v>
      </c>
      <c r="O16" s="6">
        <f>INDEX('[1]RTO Register'!R$2:R$698,MATCH($A16,'[1]RTO Register'!$AA$2:$AA$698,0))</f>
        <v>1</v>
      </c>
      <c r="P16" s="6">
        <f>INDEX('[1]RTO Register'!S$2:S$698,MATCH($A16,'[1]RTO Register'!$AA$2:$AA$698,0))</f>
        <v>1</v>
      </c>
      <c r="Q16" s="6">
        <f t="shared" si="1"/>
        <v>1</v>
      </c>
    </row>
    <row r="17" spans="1:17" x14ac:dyDescent="0.25">
      <c r="A17" t="str">
        <v>20749</v>
      </c>
      <c r="B17" t="str">
        <v>Ash Pty Ltd</v>
      </c>
      <c r="C17" t="str">
        <v>Ashly Institute of Trading- Integracom</v>
      </c>
      <c r="D17" t="str">
        <f>VLOOKUP(A17,'[1]RTO Register'!AA$2:AH514,8,FALSE)</f>
        <v>3043</v>
      </c>
      <c r="E17" s="8" t="s">
        <v>32</v>
      </c>
      <c r="F17" s="1" t="str">
        <f t="shared" si="0"/>
        <v/>
      </c>
      <c r="G17" s="1" t="str">
        <f>IFERROR(IF(INDEX('[1]RTO Register'!AP$2:AP$698,MATCH($A17,'[1]RTO Register'!$AA$2:$AA$698,0))="Yes","School",""),"")</f>
        <v/>
      </c>
      <c r="H17" s="6">
        <f>INDEX('[1]RTO Register'!K$2:K$698,MATCH($A17,'[1]RTO Register'!$AA$2:$AA$698,0))</f>
        <v>1</v>
      </c>
      <c r="I17" s="6">
        <f>INDEX('[1]RTO Register'!L$2:L$698,MATCH($A17,'[1]RTO Register'!$AA$2:$AA$698,0))</f>
        <v>1</v>
      </c>
      <c r="J17" s="6">
        <f>INDEX('[1]RTO Register'!M$2:M$698,MATCH($A17,'[1]RTO Register'!$AA$2:$AA$698,0))</f>
        <v>1</v>
      </c>
      <c r="K17" s="6">
        <f>INDEX('[1]RTO Register'!N$2:N$698,MATCH($A17,'[1]RTO Register'!$AA$2:$AA$698,0))</f>
        <v>1</v>
      </c>
      <c r="L17" s="6">
        <f>INDEX('[1]RTO Register'!O$2:O$698,MATCH($A17,'[1]RTO Register'!$AA$2:$AA$698,0))</f>
        <v>1</v>
      </c>
      <c r="M17" s="6">
        <f>INDEX('[1]RTO Register'!P$2:P$698,MATCH($A17,'[1]RTO Register'!$AA$2:$AA$698,0))</f>
        <v>1</v>
      </c>
      <c r="N17" s="6">
        <f>INDEX('[1]RTO Register'!Q$2:Q$698,MATCH($A17,'[1]RTO Register'!$AA$2:$AA$698,0))</f>
        <v>1</v>
      </c>
      <c r="O17" s="6">
        <f>INDEX('[1]RTO Register'!R$2:R$698,MATCH($A17,'[1]RTO Register'!$AA$2:$AA$698,0))</f>
        <v>1</v>
      </c>
      <c r="P17" s="6">
        <f>INDEX('[1]RTO Register'!S$2:S$698,MATCH($A17,'[1]RTO Register'!$AA$2:$AA$698,0))</f>
        <v>1</v>
      </c>
      <c r="Q17" s="6">
        <f t="shared" si="1"/>
        <v>1</v>
      </c>
    </row>
    <row r="18" spans="1:17" x14ac:dyDescent="0.25">
      <c r="A18" t="str">
        <v>21055</v>
      </c>
      <c r="B18" t="str">
        <v>Chalcedony Investments Pty Ltd</v>
      </c>
      <c r="C18" t="str">
        <v>Interlink Training</v>
      </c>
      <c r="D18" t="str">
        <f>VLOOKUP(A18,'[1]RTO Register'!AA$2:AH515,8,FALSE)</f>
        <v>4129</v>
      </c>
      <c r="E18" s="8" t="s">
        <v>33</v>
      </c>
      <c r="F18" s="1" t="str">
        <f t="shared" si="0"/>
        <v/>
      </c>
      <c r="G18" s="1" t="str">
        <f>IFERROR(IF(INDEX('[1]RTO Register'!AP$2:AP$698,MATCH($A18,'[1]RTO Register'!$AA$2:$AA$698,0))="Yes","School",""),"")</f>
        <v/>
      </c>
      <c r="H18" s="6">
        <f>INDEX('[1]RTO Register'!K$2:K$698,MATCH($A18,'[1]RTO Register'!$AA$2:$AA$698,0))</f>
        <v>1</v>
      </c>
      <c r="I18" s="6">
        <f>INDEX('[1]RTO Register'!L$2:L$698,MATCH($A18,'[1]RTO Register'!$AA$2:$AA$698,0))</f>
        <v>1</v>
      </c>
      <c r="J18" s="6">
        <f>INDEX('[1]RTO Register'!M$2:M$698,MATCH($A18,'[1]RTO Register'!$AA$2:$AA$698,0))</f>
        <v>1</v>
      </c>
      <c r="K18" s="6">
        <f>INDEX('[1]RTO Register'!N$2:N$698,MATCH($A18,'[1]RTO Register'!$AA$2:$AA$698,0))</f>
        <v>1</v>
      </c>
      <c r="L18" s="6">
        <f>INDEX('[1]RTO Register'!O$2:O$698,MATCH($A18,'[1]RTO Register'!$AA$2:$AA$698,0))</f>
        <v>1</v>
      </c>
      <c r="M18" s="6">
        <f>INDEX('[1]RTO Register'!P$2:P$698,MATCH($A18,'[1]RTO Register'!$AA$2:$AA$698,0))</f>
        <v>1</v>
      </c>
      <c r="N18" s="6">
        <f>INDEX('[1]RTO Register'!Q$2:Q$698,MATCH($A18,'[1]RTO Register'!$AA$2:$AA$698,0))</f>
        <v>1</v>
      </c>
      <c r="O18" s="6">
        <f>INDEX('[1]RTO Register'!R$2:R$698,MATCH($A18,'[1]RTO Register'!$AA$2:$AA$698,0))</f>
        <v>1</v>
      </c>
      <c r="P18" s="6">
        <f>INDEX('[1]RTO Register'!S$2:S$698,MATCH($A18,'[1]RTO Register'!$AA$2:$AA$698,0))</f>
        <v>1</v>
      </c>
      <c r="Q18" s="6">
        <f t="shared" si="1"/>
        <v>1</v>
      </c>
    </row>
    <row r="19" spans="1:17" x14ac:dyDescent="0.25">
      <c r="A19" t="str">
        <v>21371</v>
      </c>
      <c r="B19" t="str">
        <v>BSI Learning Institute Pty Limited</v>
      </c>
      <c r="C19" t="str">
        <v>BSI Learning</v>
      </c>
      <c r="D19" t="str">
        <f>VLOOKUP(A19,'[1]RTO Register'!AA$2:AH516,8,FALSE)</f>
        <v>2000</v>
      </c>
      <c r="E19" s="8" t="s">
        <v>34</v>
      </c>
      <c r="F19" s="1" t="str">
        <f t="shared" si="0"/>
        <v/>
      </c>
      <c r="G19" s="1" t="str">
        <f>IFERROR(IF(INDEX('[1]RTO Register'!AP$2:AP$698,MATCH($A19,'[1]RTO Register'!$AA$2:$AA$698,0))="Yes","School",""),"")</f>
        <v/>
      </c>
      <c r="H19" s="6">
        <f>INDEX('[1]RTO Register'!K$2:K$698,MATCH($A19,'[1]RTO Register'!$AA$2:$AA$698,0))</f>
        <v>1</v>
      </c>
      <c r="I19" s="6">
        <f>INDEX('[1]RTO Register'!L$2:L$698,MATCH($A19,'[1]RTO Register'!$AA$2:$AA$698,0))</f>
        <v>1</v>
      </c>
      <c r="J19" s="6">
        <f>INDEX('[1]RTO Register'!M$2:M$698,MATCH($A19,'[1]RTO Register'!$AA$2:$AA$698,0))</f>
        <v>1</v>
      </c>
      <c r="K19" s="6">
        <f>INDEX('[1]RTO Register'!N$2:N$698,MATCH($A19,'[1]RTO Register'!$AA$2:$AA$698,0))</f>
        <v>1</v>
      </c>
      <c r="L19" s="6">
        <f>INDEX('[1]RTO Register'!O$2:O$698,MATCH($A19,'[1]RTO Register'!$AA$2:$AA$698,0))</f>
        <v>1</v>
      </c>
      <c r="M19" s="6">
        <f>INDEX('[1]RTO Register'!P$2:P$698,MATCH($A19,'[1]RTO Register'!$AA$2:$AA$698,0))</f>
        <v>1</v>
      </c>
      <c r="N19" s="6">
        <f>INDEX('[1]RTO Register'!Q$2:Q$698,MATCH($A19,'[1]RTO Register'!$AA$2:$AA$698,0))</f>
        <v>1</v>
      </c>
      <c r="O19" s="6">
        <f>INDEX('[1]RTO Register'!R$2:R$698,MATCH($A19,'[1]RTO Register'!$AA$2:$AA$698,0))</f>
        <v>1</v>
      </c>
      <c r="P19" s="6">
        <f>INDEX('[1]RTO Register'!S$2:S$698,MATCH($A19,'[1]RTO Register'!$AA$2:$AA$698,0))</f>
        <v>1</v>
      </c>
      <c r="Q19" s="6">
        <f t="shared" si="1"/>
        <v>1</v>
      </c>
    </row>
    <row r="20" spans="1:17" x14ac:dyDescent="0.25">
      <c r="A20" t="str">
        <v>21583</v>
      </c>
      <c r="B20" t="str">
        <v>House of Learning Pty Ltd</v>
      </c>
      <c r="C20" t="str">
        <v>Builders Academy Australia</v>
      </c>
      <c r="D20" t="str">
        <f>VLOOKUP(A20,'[1]RTO Register'!AA$2:AH517,8,FALSE)</f>
        <v>3004</v>
      </c>
      <c r="E20" s="8" t="s">
        <v>35</v>
      </c>
      <c r="F20" s="1" t="str">
        <f t="shared" si="0"/>
        <v/>
      </c>
      <c r="G20" s="1" t="str">
        <f>IFERROR(IF(INDEX('[1]RTO Register'!AP$2:AP$698,MATCH($A20,'[1]RTO Register'!$AA$2:$AA$698,0))="Yes","School",""),"")</f>
        <v/>
      </c>
      <c r="H20" s="6">
        <f>INDEX('[1]RTO Register'!K$2:K$698,MATCH($A20,'[1]RTO Register'!$AA$2:$AA$698,0))</f>
        <v>1</v>
      </c>
      <c r="I20" s="6">
        <f>INDEX('[1]RTO Register'!L$2:L$698,MATCH($A20,'[1]RTO Register'!$AA$2:$AA$698,0))</f>
        <v>1</v>
      </c>
      <c r="J20" s="6">
        <f>INDEX('[1]RTO Register'!M$2:M$698,MATCH($A20,'[1]RTO Register'!$AA$2:$AA$698,0))</f>
        <v>1</v>
      </c>
      <c r="K20" s="6">
        <f>INDEX('[1]RTO Register'!N$2:N$698,MATCH($A20,'[1]RTO Register'!$AA$2:$AA$698,0))</f>
        <v>1</v>
      </c>
      <c r="L20" s="6">
        <f>INDEX('[1]RTO Register'!O$2:O$698,MATCH($A20,'[1]RTO Register'!$AA$2:$AA$698,0))</f>
        <v>1</v>
      </c>
      <c r="M20" s="6">
        <f>INDEX('[1]RTO Register'!P$2:P$698,MATCH($A20,'[1]RTO Register'!$AA$2:$AA$698,0))</f>
        <v>1</v>
      </c>
      <c r="N20" s="6">
        <f>INDEX('[1]RTO Register'!Q$2:Q$698,MATCH($A20,'[1]RTO Register'!$AA$2:$AA$698,0))</f>
        <v>1</v>
      </c>
      <c r="O20" s="6">
        <f>INDEX('[1]RTO Register'!R$2:R$698,MATCH($A20,'[1]RTO Register'!$AA$2:$AA$698,0))</f>
        <v>1</v>
      </c>
      <c r="P20" s="6">
        <f>INDEX('[1]RTO Register'!S$2:S$698,MATCH($A20,'[1]RTO Register'!$AA$2:$AA$698,0))</f>
        <v>1</v>
      </c>
      <c r="Q20" s="6">
        <f t="shared" si="1"/>
        <v>1</v>
      </c>
    </row>
    <row r="21" spans="1:17" x14ac:dyDescent="0.25">
      <c r="A21" t="str">
        <v>22508</v>
      </c>
      <c r="B21" t="str">
        <v>Australian Pilot Training Alliance Pty Ltd</v>
      </c>
      <c r="C21" t="str">
        <v>Australian Training Academy</v>
      </c>
      <c r="D21" t="str">
        <f>VLOOKUP(A21,'[1]RTO Register'!AA$2:AH518,8,FALSE)</f>
        <v>3194</v>
      </c>
      <c r="E21" s="8" t="s">
        <v>36</v>
      </c>
      <c r="F21" s="1" t="str">
        <f t="shared" si="0"/>
        <v/>
      </c>
      <c r="G21" s="1" t="str">
        <f>IFERROR(IF(INDEX('[1]RTO Register'!AP$2:AP$698,MATCH($A21,'[1]RTO Register'!$AA$2:$AA$698,0))="Yes","School",""),"")</f>
        <v/>
      </c>
      <c r="H21" s="6">
        <f>INDEX('[1]RTO Register'!K$2:K$698,MATCH($A21,'[1]RTO Register'!$AA$2:$AA$698,0))</f>
        <v>1</v>
      </c>
      <c r="I21" s="6">
        <f>INDEX('[1]RTO Register'!L$2:L$698,MATCH($A21,'[1]RTO Register'!$AA$2:$AA$698,0))</f>
        <v>1</v>
      </c>
      <c r="J21" s="6">
        <f>INDEX('[1]RTO Register'!M$2:M$698,MATCH($A21,'[1]RTO Register'!$AA$2:$AA$698,0))</f>
        <v>1</v>
      </c>
      <c r="K21" s="6">
        <f>INDEX('[1]RTO Register'!N$2:N$698,MATCH($A21,'[1]RTO Register'!$AA$2:$AA$698,0))</f>
        <v>1</v>
      </c>
      <c r="L21" s="6">
        <f>INDEX('[1]RTO Register'!O$2:O$698,MATCH($A21,'[1]RTO Register'!$AA$2:$AA$698,0))</f>
        <v>1</v>
      </c>
      <c r="M21" s="6">
        <f>INDEX('[1]RTO Register'!P$2:P$698,MATCH($A21,'[1]RTO Register'!$AA$2:$AA$698,0))</f>
        <v>1</v>
      </c>
      <c r="N21" s="6">
        <f>INDEX('[1]RTO Register'!Q$2:Q$698,MATCH($A21,'[1]RTO Register'!$AA$2:$AA$698,0))</f>
        <v>1</v>
      </c>
      <c r="O21" s="6">
        <f>INDEX('[1]RTO Register'!R$2:R$698,MATCH($A21,'[1]RTO Register'!$AA$2:$AA$698,0))</f>
        <v>1</v>
      </c>
      <c r="P21" s="6">
        <f>INDEX('[1]RTO Register'!S$2:S$698,MATCH($A21,'[1]RTO Register'!$AA$2:$AA$698,0))</f>
        <v>1</v>
      </c>
      <c r="Q21" s="6">
        <f t="shared" si="1"/>
        <v>1</v>
      </c>
    </row>
    <row r="22" spans="1:17" x14ac:dyDescent="0.25">
      <c r="A22" t="str">
        <v>30048</v>
      </c>
      <c r="B22" t="str">
        <v>Master Painters Decorators &amp; Signwriters' Association of Queensland Union of Employers</v>
      </c>
      <c r="C22" t="str">
        <v>National Institute of Construction Skills</v>
      </c>
      <c r="D22" t="str">
        <f>VLOOKUP(A22,'[1]RTO Register'!AA$2:AH519,8,FALSE)</f>
        <v>4107</v>
      </c>
      <c r="E22" s="8" t="s">
        <v>37</v>
      </c>
      <c r="F22" s="1" t="str">
        <f t="shared" si="0"/>
        <v/>
      </c>
      <c r="G22" s="1" t="str">
        <f>IFERROR(IF(INDEX('[1]RTO Register'!AP$2:AP$698,MATCH($A22,'[1]RTO Register'!$AA$2:$AA$698,0))="Yes","School",""),"")</f>
        <v/>
      </c>
      <c r="H22" s="6">
        <f>INDEX('[1]RTO Register'!K$2:K$698,MATCH($A22,'[1]RTO Register'!$AA$2:$AA$698,0))</f>
        <v>1</v>
      </c>
      <c r="I22" s="6">
        <f>INDEX('[1]RTO Register'!L$2:L$698,MATCH($A22,'[1]RTO Register'!$AA$2:$AA$698,0))</f>
        <v>1</v>
      </c>
      <c r="J22" s="6">
        <f>INDEX('[1]RTO Register'!M$2:M$698,MATCH($A22,'[1]RTO Register'!$AA$2:$AA$698,0))</f>
        <v>1</v>
      </c>
      <c r="K22" s="6">
        <f>INDEX('[1]RTO Register'!N$2:N$698,MATCH($A22,'[1]RTO Register'!$AA$2:$AA$698,0))</f>
        <v>1</v>
      </c>
      <c r="L22" s="6">
        <f>INDEX('[1]RTO Register'!O$2:O$698,MATCH($A22,'[1]RTO Register'!$AA$2:$AA$698,0))</f>
        <v>1</v>
      </c>
      <c r="M22" s="6">
        <f>INDEX('[1]RTO Register'!P$2:P$698,MATCH($A22,'[1]RTO Register'!$AA$2:$AA$698,0))</f>
        <v>1</v>
      </c>
      <c r="N22" s="6">
        <f>INDEX('[1]RTO Register'!Q$2:Q$698,MATCH($A22,'[1]RTO Register'!$AA$2:$AA$698,0))</f>
        <v>1</v>
      </c>
      <c r="O22" s="6">
        <f>INDEX('[1]RTO Register'!R$2:R$698,MATCH($A22,'[1]RTO Register'!$AA$2:$AA$698,0))</f>
        <v>1</v>
      </c>
      <c r="P22" s="6">
        <f>INDEX('[1]RTO Register'!S$2:S$698,MATCH($A22,'[1]RTO Register'!$AA$2:$AA$698,0))</f>
        <v>1</v>
      </c>
      <c r="Q22" s="6">
        <f t="shared" si="1"/>
        <v>1</v>
      </c>
    </row>
    <row r="23" spans="1:17" x14ac:dyDescent="0.25">
      <c r="A23" t="str">
        <v>30058</v>
      </c>
      <c r="B23" t="str">
        <v>Caloundra State High School</v>
      </c>
      <c r="C23" t="str">
        <v>Caloundra State High School</v>
      </c>
      <c r="D23" t="str">
        <f>VLOOKUP(A23,'[1]RTO Register'!AA$2:AH520,8,FALSE)</f>
        <v>4551</v>
      </c>
      <c r="E23" s="8" t="s">
        <v>38</v>
      </c>
      <c r="F23" s="1" t="str">
        <f t="shared" si="0"/>
        <v/>
      </c>
      <c r="G23" s="1" t="str">
        <f>IFERROR(IF(INDEX('[1]RTO Register'!AP$2:AP$698,MATCH($A23,'[1]RTO Register'!$AA$2:$AA$698,0))="Yes","School",""),"")</f>
        <v>School</v>
      </c>
      <c r="H23" s="6">
        <f>INDEX('[1]RTO Register'!K$2:K$698,MATCH($A23,'[1]RTO Register'!$AA$2:$AA$698,0))</f>
        <v>1</v>
      </c>
      <c r="I23" s="6">
        <f>INDEX('[1]RTO Register'!L$2:L$698,MATCH($A23,'[1]RTO Register'!$AA$2:$AA$698,0))</f>
        <v>1</v>
      </c>
      <c r="J23" s="6">
        <f>INDEX('[1]RTO Register'!M$2:M$698,MATCH($A23,'[1]RTO Register'!$AA$2:$AA$698,0))</f>
        <v>1</v>
      </c>
      <c r="K23" s="6">
        <f>INDEX('[1]RTO Register'!N$2:N$698,MATCH($A23,'[1]RTO Register'!$AA$2:$AA$698,0))</f>
        <v>1</v>
      </c>
      <c r="L23" s="6">
        <f>INDEX('[1]RTO Register'!O$2:O$698,MATCH($A23,'[1]RTO Register'!$AA$2:$AA$698,0))</f>
        <v>1</v>
      </c>
      <c r="M23" s="6">
        <f>INDEX('[1]RTO Register'!P$2:P$698,MATCH($A23,'[1]RTO Register'!$AA$2:$AA$698,0))</f>
        <v>1</v>
      </c>
      <c r="N23" s="6">
        <f>INDEX('[1]RTO Register'!Q$2:Q$698,MATCH($A23,'[1]RTO Register'!$AA$2:$AA$698,0))</f>
        <v>1</v>
      </c>
      <c r="O23" s="6">
        <f>INDEX('[1]RTO Register'!R$2:R$698,MATCH($A23,'[1]RTO Register'!$AA$2:$AA$698,0))</f>
        <v>1</v>
      </c>
      <c r="P23" s="6">
        <f>INDEX('[1]RTO Register'!S$2:S$698,MATCH($A23,'[1]RTO Register'!$AA$2:$AA$698,0))</f>
        <v>1</v>
      </c>
      <c r="Q23" s="6">
        <f t="shared" si="1"/>
        <v>1</v>
      </c>
    </row>
    <row r="24" spans="1:17" x14ac:dyDescent="0.25">
      <c r="A24" t="str">
        <v>30070</v>
      </c>
      <c r="B24" t="str">
        <v>Kawana Waters State College</v>
      </c>
      <c r="C24" t="str">
        <v>Kawana-Bokarina State College</v>
      </c>
      <c r="D24" t="str">
        <f>VLOOKUP(A24,'[1]RTO Register'!AA$2:AH521,8,FALSE)</f>
        <v>4575</v>
      </c>
      <c r="E24" s="8" t="s">
        <v>39</v>
      </c>
      <c r="F24" s="1" t="str">
        <f t="shared" si="0"/>
        <v/>
      </c>
      <c r="G24" s="1" t="str">
        <f>IFERROR(IF(INDEX('[1]RTO Register'!AP$2:AP$698,MATCH($A24,'[1]RTO Register'!$AA$2:$AA$698,0))="Yes","School",""),"")</f>
        <v>School</v>
      </c>
      <c r="H24" s="6">
        <f>INDEX('[1]RTO Register'!K$2:K$698,MATCH($A24,'[1]RTO Register'!$AA$2:$AA$698,0))</f>
        <v>1</v>
      </c>
      <c r="I24" s="6">
        <f>INDEX('[1]RTO Register'!L$2:L$698,MATCH($A24,'[1]RTO Register'!$AA$2:$AA$698,0))</f>
        <v>1</v>
      </c>
      <c r="J24" s="6">
        <f>INDEX('[1]RTO Register'!M$2:M$698,MATCH($A24,'[1]RTO Register'!$AA$2:$AA$698,0))</f>
        <v>1</v>
      </c>
      <c r="K24" s="6">
        <f>INDEX('[1]RTO Register'!N$2:N$698,MATCH($A24,'[1]RTO Register'!$AA$2:$AA$698,0))</f>
        <v>1</v>
      </c>
      <c r="L24" s="6">
        <f>INDEX('[1]RTO Register'!O$2:O$698,MATCH($A24,'[1]RTO Register'!$AA$2:$AA$698,0))</f>
        <v>1</v>
      </c>
      <c r="M24" s="6">
        <f>INDEX('[1]RTO Register'!P$2:P$698,MATCH($A24,'[1]RTO Register'!$AA$2:$AA$698,0))</f>
        <v>1</v>
      </c>
      <c r="N24" s="6">
        <f>INDEX('[1]RTO Register'!Q$2:Q$698,MATCH($A24,'[1]RTO Register'!$AA$2:$AA$698,0))</f>
        <v>1</v>
      </c>
      <c r="O24" s="6">
        <f>INDEX('[1]RTO Register'!R$2:R$698,MATCH($A24,'[1]RTO Register'!$AA$2:$AA$698,0))</f>
        <v>1</v>
      </c>
      <c r="P24" s="6">
        <f>INDEX('[1]RTO Register'!S$2:S$698,MATCH($A24,'[1]RTO Register'!$AA$2:$AA$698,0))</f>
        <v>1</v>
      </c>
      <c r="Q24" s="6">
        <f t="shared" si="1"/>
        <v>1</v>
      </c>
    </row>
    <row r="25" spans="1:17" x14ac:dyDescent="0.25">
      <c r="A25" t="str">
        <v>30097</v>
      </c>
      <c r="B25" t="str">
        <v>Queensland Master Builders Assciation Industrial Organisation of Employers</v>
      </c>
      <c r="C25" t="str">
        <v>Master Builders Queensland</v>
      </c>
      <c r="D25" t="str">
        <f>VLOOKUP(A25,'[1]RTO Register'!AA$2:AH522,8,FALSE)</f>
        <v>4000</v>
      </c>
      <c r="E25" s="8" t="s">
        <v>40</v>
      </c>
      <c r="F25" s="1" t="str">
        <f t="shared" si="0"/>
        <v/>
      </c>
      <c r="G25" s="1" t="str">
        <f>IFERROR(IF(INDEX('[1]RTO Register'!AP$2:AP$698,MATCH($A25,'[1]RTO Register'!$AA$2:$AA$698,0))="Yes","School",""),"")</f>
        <v/>
      </c>
      <c r="H25" s="6">
        <f>INDEX('[1]RTO Register'!K$2:K$698,MATCH($A25,'[1]RTO Register'!$AA$2:$AA$698,0))</f>
        <v>44433</v>
      </c>
      <c r="I25" s="6">
        <f>INDEX('[1]RTO Register'!L$2:L$698,MATCH($A25,'[1]RTO Register'!$AA$2:$AA$698,0))</f>
        <v>1</v>
      </c>
      <c r="J25" s="6">
        <f>INDEX('[1]RTO Register'!M$2:M$698,MATCH($A25,'[1]RTO Register'!$AA$2:$AA$698,0))</f>
        <v>1</v>
      </c>
      <c r="K25" s="6">
        <f>INDEX('[1]RTO Register'!N$2:N$698,MATCH($A25,'[1]RTO Register'!$AA$2:$AA$698,0))</f>
        <v>1</v>
      </c>
      <c r="L25" s="6">
        <f>INDEX('[1]RTO Register'!O$2:O$698,MATCH($A25,'[1]RTO Register'!$AA$2:$AA$698,0))</f>
        <v>44468</v>
      </c>
      <c r="M25" s="6">
        <f>INDEX('[1]RTO Register'!P$2:P$698,MATCH($A25,'[1]RTO Register'!$AA$2:$AA$698,0))</f>
        <v>1</v>
      </c>
      <c r="N25" s="6">
        <f>INDEX('[1]RTO Register'!Q$2:Q$698,MATCH($A25,'[1]RTO Register'!$AA$2:$AA$698,0))</f>
        <v>1</v>
      </c>
      <c r="O25" s="6">
        <f>INDEX('[1]RTO Register'!R$2:R$698,MATCH($A25,'[1]RTO Register'!$AA$2:$AA$698,0))</f>
        <v>1</v>
      </c>
      <c r="P25" s="6">
        <f>INDEX('[1]RTO Register'!S$2:S$698,MATCH($A25,'[1]RTO Register'!$AA$2:$AA$698,0))</f>
        <v>1</v>
      </c>
      <c r="Q25" s="6">
        <f t="shared" si="1"/>
        <v>44468</v>
      </c>
    </row>
    <row r="26" spans="1:17" x14ac:dyDescent="0.25">
      <c r="A26" t="str">
        <v>30118</v>
      </c>
      <c r="B26" t="str">
        <v>Wynnum State High School</v>
      </c>
      <c r="C26" t="str">
        <v>Wynnum State High School</v>
      </c>
      <c r="D26" t="str">
        <f>VLOOKUP(A26,'[1]RTO Register'!AA$2:AH523,8,FALSE)</f>
        <v>4179</v>
      </c>
      <c r="E26" s="8" t="s">
        <v>41</v>
      </c>
      <c r="F26" s="1" t="str">
        <f t="shared" si="0"/>
        <v/>
      </c>
      <c r="G26" s="1" t="str">
        <f>IFERROR(IF(INDEX('[1]RTO Register'!AP$2:AP$698,MATCH($A26,'[1]RTO Register'!$AA$2:$AA$698,0))="Yes","School",""),"")</f>
        <v>School</v>
      </c>
      <c r="H26" s="6">
        <f>INDEX('[1]RTO Register'!K$2:K$698,MATCH($A26,'[1]RTO Register'!$AA$2:$AA$698,0))</f>
        <v>1</v>
      </c>
      <c r="I26" s="6">
        <f>INDEX('[1]RTO Register'!L$2:L$698,MATCH($A26,'[1]RTO Register'!$AA$2:$AA$698,0))</f>
        <v>1</v>
      </c>
      <c r="J26" s="6">
        <f>INDEX('[1]RTO Register'!M$2:M$698,MATCH($A26,'[1]RTO Register'!$AA$2:$AA$698,0))</f>
        <v>1</v>
      </c>
      <c r="K26" s="6">
        <f>INDEX('[1]RTO Register'!N$2:N$698,MATCH($A26,'[1]RTO Register'!$AA$2:$AA$698,0))</f>
        <v>1</v>
      </c>
      <c r="L26" s="6">
        <f>INDEX('[1]RTO Register'!O$2:O$698,MATCH($A26,'[1]RTO Register'!$AA$2:$AA$698,0))</f>
        <v>1</v>
      </c>
      <c r="M26" s="6">
        <f>INDEX('[1]RTO Register'!P$2:P$698,MATCH($A26,'[1]RTO Register'!$AA$2:$AA$698,0))</f>
        <v>1</v>
      </c>
      <c r="N26" s="6">
        <f>INDEX('[1]RTO Register'!Q$2:Q$698,MATCH($A26,'[1]RTO Register'!$AA$2:$AA$698,0))</f>
        <v>1</v>
      </c>
      <c r="O26" s="6">
        <f>INDEX('[1]RTO Register'!R$2:R$698,MATCH($A26,'[1]RTO Register'!$AA$2:$AA$698,0))</f>
        <v>1</v>
      </c>
      <c r="P26" s="6">
        <f>INDEX('[1]RTO Register'!S$2:S$698,MATCH($A26,'[1]RTO Register'!$AA$2:$AA$698,0))</f>
        <v>1</v>
      </c>
      <c r="Q26" s="6">
        <f t="shared" si="1"/>
        <v>1</v>
      </c>
    </row>
    <row r="27" spans="1:17" x14ac:dyDescent="0.25">
      <c r="A27" t="str">
        <v>30144</v>
      </c>
      <c r="B27" t="str">
        <v>North Rockhampton State High School</v>
      </c>
      <c r="C27" t="str">
        <v>North Rockhampton State High School</v>
      </c>
      <c r="D27" t="str">
        <f>VLOOKUP(A27,'[1]RTO Register'!AA$2:AH524,8,FALSE)</f>
        <v>4701</v>
      </c>
      <c r="E27" s="8" t="s">
        <v>42</v>
      </c>
      <c r="F27" s="1" t="str">
        <f t="shared" si="0"/>
        <v/>
      </c>
      <c r="G27" s="1" t="str">
        <f>IFERROR(IF(INDEX('[1]RTO Register'!AP$2:AP$698,MATCH($A27,'[1]RTO Register'!$AA$2:$AA$698,0))="Yes","School",""),"")</f>
        <v>School</v>
      </c>
      <c r="H27" s="6">
        <f>INDEX('[1]RTO Register'!K$2:K$698,MATCH($A27,'[1]RTO Register'!$AA$2:$AA$698,0))</f>
        <v>1</v>
      </c>
      <c r="I27" s="6">
        <f>INDEX('[1]RTO Register'!L$2:L$698,MATCH($A27,'[1]RTO Register'!$AA$2:$AA$698,0))</f>
        <v>1</v>
      </c>
      <c r="J27" s="6">
        <f>INDEX('[1]RTO Register'!M$2:M$698,MATCH($A27,'[1]RTO Register'!$AA$2:$AA$698,0))</f>
        <v>1</v>
      </c>
      <c r="K27" s="6">
        <f>INDEX('[1]RTO Register'!N$2:N$698,MATCH($A27,'[1]RTO Register'!$AA$2:$AA$698,0))</f>
        <v>1</v>
      </c>
      <c r="L27" s="6">
        <f>INDEX('[1]RTO Register'!O$2:O$698,MATCH($A27,'[1]RTO Register'!$AA$2:$AA$698,0))</f>
        <v>1</v>
      </c>
      <c r="M27" s="6">
        <f>INDEX('[1]RTO Register'!P$2:P$698,MATCH($A27,'[1]RTO Register'!$AA$2:$AA$698,0))</f>
        <v>1</v>
      </c>
      <c r="N27" s="6">
        <f>INDEX('[1]RTO Register'!Q$2:Q$698,MATCH($A27,'[1]RTO Register'!$AA$2:$AA$698,0))</f>
        <v>1</v>
      </c>
      <c r="O27" s="6">
        <f>INDEX('[1]RTO Register'!R$2:R$698,MATCH($A27,'[1]RTO Register'!$AA$2:$AA$698,0))</f>
        <v>1</v>
      </c>
      <c r="P27" s="6">
        <f>INDEX('[1]RTO Register'!S$2:S$698,MATCH($A27,'[1]RTO Register'!$AA$2:$AA$698,0))</f>
        <v>1</v>
      </c>
      <c r="Q27" s="6">
        <f t="shared" si="1"/>
        <v>1</v>
      </c>
    </row>
    <row r="28" spans="1:17" x14ac:dyDescent="0.25">
      <c r="A28" t="str">
        <v>30166</v>
      </c>
      <c r="B28" t="str">
        <v>Djarragun College Limited</v>
      </c>
      <c r="C28" t="str">
        <v>Djarragun College</v>
      </c>
      <c r="D28" t="str">
        <f>VLOOKUP(A28,'[1]RTO Register'!AA$2:AH525,8,FALSE)</f>
        <v>4865</v>
      </c>
      <c r="E28" s="8" t="s">
        <v>43</v>
      </c>
      <c r="F28" s="1" t="str">
        <f t="shared" si="0"/>
        <v/>
      </c>
      <c r="G28" s="1" t="str">
        <f>IFERROR(IF(INDEX('[1]RTO Register'!AP$2:AP$698,MATCH($A28,'[1]RTO Register'!$AA$2:$AA$698,0))="Yes","School",""),"")</f>
        <v>School</v>
      </c>
      <c r="H28" s="6">
        <f>INDEX('[1]RTO Register'!K$2:K$698,MATCH($A28,'[1]RTO Register'!$AA$2:$AA$698,0))</f>
        <v>1</v>
      </c>
      <c r="I28" s="6">
        <f>INDEX('[1]RTO Register'!L$2:L$698,MATCH($A28,'[1]RTO Register'!$AA$2:$AA$698,0))</f>
        <v>1</v>
      </c>
      <c r="J28" s="6">
        <f>INDEX('[1]RTO Register'!M$2:M$698,MATCH($A28,'[1]RTO Register'!$AA$2:$AA$698,0))</f>
        <v>1</v>
      </c>
      <c r="K28" s="6">
        <f>INDEX('[1]RTO Register'!N$2:N$698,MATCH($A28,'[1]RTO Register'!$AA$2:$AA$698,0))</f>
        <v>1</v>
      </c>
      <c r="L28" s="6">
        <f>INDEX('[1]RTO Register'!O$2:O$698,MATCH($A28,'[1]RTO Register'!$AA$2:$AA$698,0))</f>
        <v>1</v>
      </c>
      <c r="M28" s="6">
        <f>INDEX('[1]RTO Register'!P$2:P$698,MATCH($A28,'[1]RTO Register'!$AA$2:$AA$698,0))</f>
        <v>1</v>
      </c>
      <c r="N28" s="6">
        <f>INDEX('[1]RTO Register'!Q$2:Q$698,MATCH($A28,'[1]RTO Register'!$AA$2:$AA$698,0))</f>
        <v>1</v>
      </c>
      <c r="O28" s="6">
        <f>INDEX('[1]RTO Register'!R$2:R$698,MATCH($A28,'[1]RTO Register'!$AA$2:$AA$698,0))</f>
        <v>1</v>
      </c>
      <c r="P28" s="6">
        <f>INDEX('[1]RTO Register'!S$2:S$698,MATCH($A28,'[1]RTO Register'!$AA$2:$AA$698,0))</f>
        <v>1</v>
      </c>
      <c r="Q28" s="6">
        <f t="shared" si="1"/>
        <v>1</v>
      </c>
    </row>
    <row r="29" spans="1:17" x14ac:dyDescent="0.25">
      <c r="A29" t="str">
        <v>30185</v>
      </c>
      <c r="B29" t="str">
        <v>Electro Group Training Queensland Limited</v>
      </c>
      <c r="C29" t="str">
        <v>Electro Group Training Queensland LTD</v>
      </c>
      <c r="D29" t="str">
        <f>VLOOKUP(A29,'[1]RTO Register'!AA$2:AH526,8,FALSE)</f>
        <v>4008</v>
      </c>
      <c r="E29" s="8" t="s">
        <v>44</v>
      </c>
      <c r="F29" s="1" t="str">
        <f t="shared" si="0"/>
        <v/>
      </c>
      <c r="G29" s="1" t="str">
        <f>IFERROR(IF(INDEX('[1]RTO Register'!AP$2:AP$698,MATCH($A29,'[1]RTO Register'!$AA$2:$AA$698,0))="Yes","School",""),"")</f>
        <v/>
      </c>
      <c r="H29" s="6">
        <f>INDEX('[1]RTO Register'!K$2:K$698,MATCH($A29,'[1]RTO Register'!$AA$2:$AA$698,0))</f>
        <v>1</v>
      </c>
      <c r="I29" s="6">
        <f>INDEX('[1]RTO Register'!L$2:L$698,MATCH($A29,'[1]RTO Register'!$AA$2:$AA$698,0))</f>
        <v>1</v>
      </c>
      <c r="J29" s="6">
        <f>INDEX('[1]RTO Register'!M$2:M$698,MATCH($A29,'[1]RTO Register'!$AA$2:$AA$698,0))</f>
        <v>1</v>
      </c>
      <c r="K29" s="6">
        <f>INDEX('[1]RTO Register'!N$2:N$698,MATCH($A29,'[1]RTO Register'!$AA$2:$AA$698,0))</f>
        <v>1</v>
      </c>
      <c r="L29" s="6">
        <f>INDEX('[1]RTO Register'!O$2:O$698,MATCH($A29,'[1]RTO Register'!$AA$2:$AA$698,0))</f>
        <v>1</v>
      </c>
      <c r="M29" s="6">
        <f>INDEX('[1]RTO Register'!P$2:P$698,MATCH($A29,'[1]RTO Register'!$AA$2:$AA$698,0))</f>
        <v>1</v>
      </c>
      <c r="N29" s="6">
        <f>INDEX('[1]RTO Register'!Q$2:Q$698,MATCH($A29,'[1]RTO Register'!$AA$2:$AA$698,0))</f>
        <v>1</v>
      </c>
      <c r="O29" s="6">
        <f>INDEX('[1]RTO Register'!R$2:R$698,MATCH($A29,'[1]RTO Register'!$AA$2:$AA$698,0))</f>
        <v>1</v>
      </c>
      <c r="P29" s="6">
        <f>INDEX('[1]RTO Register'!S$2:S$698,MATCH($A29,'[1]RTO Register'!$AA$2:$AA$698,0))</f>
        <v>1</v>
      </c>
      <c r="Q29" s="6">
        <f t="shared" si="1"/>
        <v>1</v>
      </c>
    </row>
    <row r="30" spans="1:17" x14ac:dyDescent="0.25">
      <c r="A30" t="str">
        <v>30200</v>
      </c>
      <c r="B30" t="str">
        <v>Australian Training Institute Pty Ltd</v>
      </c>
      <c r="C30" t="str">
        <v>Australian Training Institute</v>
      </c>
      <c r="D30" t="str">
        <f>VLOOKUP(A30,'[1]RTO Register'!AA$2:AH527,8,FALSE)</f>
        <v>4010</v>
      </c>
      <c r="E30" s="8" t="s">
        <v>45</v>
      </c>
      <c r="F30" s="1" t="str">
        <f t="shared" si="0"/>
        <v/>
      </c>
      <c r="G30" s="1" t="str">
        <f>IFERROR(IF(INDEX('[1]RTO Register'!AP$2:AP$698,MATCH($A30,'[1]RTO Register'!$AA$2:$AA$698,0))="Yes","School",""),"")</f>
        <v/>
      </c>
      <c r="H30" s="6">
        <f>INDEX('[1]RTO Register'!K$2:K$698,MATCH($A30,'[1]RTO Register'!$AA$2:$AA$698,0))</f>
        <v>1</v>
      </c>
      <c r="I30" s="6">
        <f>INDEX('[1]RTO Register'!L$2:L$698,MATCH($A30,'[1]RTO Register'!$AA$2:$AA$698,0))</f>
        <v>1</v>
      </c>
      <c r="J30" s="6">
        <f>INDEX('[1]RTO Register'!M$2:M$698,MATCH($A30,'[1]RTO Register'!$AA$2:$AA$698,0))</f>
        <v>1</v>
      </c>
      <c r="K30" s="6">
        <f>INDEX('[1]RTO Register'!N$2:N$698,MATCH($A30,'[1]RTO Register'!$AA$2:$AA$698,0))</f>
        <v>1</v>
      </c>
      <c r="L30" s="6">
        <f>INDEX('[1]RTO Register'!O$2:O$698,MATCH($A30,'[1]RTO Register'!$AA$2:$AA$698,0))</f>
        <v>1</v>
      </c>
      <c r="M30" s="6">
        <f>INDEX('[1]RTO Register'!P$2:P$698,MATCH($A30,'[1]RTO Register'!$AA$2:$AA$698,0))</f>
        <v>1</v>
      </c>
      <c r="N30" s="6">
        <f>INDEX('[1]RTO Register'!Q$2:Q$698,MATCH($A30,'[1]RTO Register'!$AA$2:$AA$698,0))</f>
        <v>1</v>
      </c>
      <c r="O30" s="6">
        <f>INDEX('[1]RTO Register'!R$2:R$698,MATCH($A30,'[1]RTO Register'!$AA$2:$AA$698,0))</f>
        <v>1</v>
      </c>
      <c r="P30" s="6">
        <f>INDEX('[1]RTO Register'!S$2:S$698,MATCH($A30,'[1]RTO Register'!$AA$2:$AA$698,0))</f>
        <v>1</v>
      </c>
      <c r="Q30" s="6">
        <f t="shared" si="1"/>
        <v>1</v>
      </c>
    </row>
    <row r="31" spans="1:17" x14ac:dyDescent="0.25">
      <c r="A31" t="str">
        <v>30229</v>
      </c>
      <c r="B31" t="str">
        <v>Beerwah State High School</v>
      </c>
      <c r="C31" t="str">
        <v>N/A</v>
      </c>
      <c r="D31" t="str">
        <f>VLOOKUP(A31,'[1]RTO Register'!AA$2:AH528,8,FALSE)</f>
        <v>4519</v>
      </c>
      <c r="E31" s="8" t="s">
        <v>46</v>
      </c>
      <c r="F31" s="1" t="str">
        <f t="shared" si="0"/>
        <v/>
      </c>
      <c r="G31" s="1" t="str">
        <f>IFERROR(IF(INDEX('[1]RTO Register'!AP$2:AP$698,MATCH($A31,'[1]RTO Register'!$AA$2:$AA$698,0))="Yes","School",""),"")</f>
        <v>School</v>
      </c>
      <c r="H31" s="6">
        <f>INDEX('[1]RTO Register'!K$2:K$698,MATCH($A31,'[1]RTO Register'!$AA$2:$AA$698,0))</f>
        <v>1</v>
      </c>
      <c r="I31" s="6">
        <f>INDEX('[1]RTO Register'!L$2:L$698,MATCH($A31,'[1]RTO Register'!$AA$2:$AA$698,0))</f>
        <v>1</v>
      </c>
      <c r="J31" s="6">
        <f>INDEX('[1]RTO Register'!M$2:M$698,MATCH($A31,'[1]RTO Register'!$AA$2:$AA$698,0))</f>
        <v>1</v>
      </c>
      <c r="K31" s="6">
        <f>INDEX('[1]RTO Register'!N$2:N$698,MATCH($A31,'[1]RTO Register'!$AA$2:$AA$698,0))</f>
        <v>1</v>
      </c>
      <c r="L31" s="6">
        <f>INDEX('[1]RTO Register'!O$2:O$698,MATCH($A31,'[1]RTO Register'!$AA$2:$AA$698,0))</f>
        <v>1</v>
      </c>
      <c r="M31" s="6">
        <f>INDEX('[1]RTO Register'!P$2:P$698,MATCH($A31,'[1]RTO Register'!$AA$2:$AA$698,0))</f>
        <v>1</v>
      </c>
      <c r="N31" s="6">
        <f>INDEX('[1]RTO Register'!Q$2:Q$698,MATCH($A31,'[1]RTO Register'!$AA$2:$AA$698,0))</f>
        <v>1</v>
      </c>
      <c r="O31" s="6">
        <f>INDEX('[1]RTO Register'!R$2:R$698,MATCH($A31,'[1]RTO Register'!$AA$2:$AA$698,0))</f>
        <v>1</v>
      </c>
      <c r="P31" s="6">
        <f>INDEX('[1]RTO Register'!S$2:S$698,MATCH($A31,'[1]RTO Register'!$AA$2:$AA$698,0))</f>
        <v>1</v>
      </c>
      <c r="Q31" s="6">
        <f t="shared" si="1"/>
        <v>1</v>
      </c>
    </row>
    <row r="32" spans="1:17" x14ac:dyDescent="0.25">
      <c r="A32" t="str">
        <v>30258</v>
      </c>
      <c r="B32" t="str">
        <v>Centenary Heights State High School</v>
      </c>
      <c r="C32" t="str">
        <v>Centenary Heights State High School</v>
      </c>
      <c r="D32" t="str">
        <f>VLOOKUP(A32,'[1]RTO Register'!AA$2:AH529,8,FALSE)</f>
        <v>4350</v>
      </c>
      <c r="E32" s="8" t="s">
        <v>47</v>
      </c>
      <c r="F32" s="1" t="str">
        <f t="shared" si="0"/>
        <v/>
      </c>
      <c r="G32" s="1" t="str">
        <f>IFERROR(IF(INDEX('[1]RTO Register'!AP$2:AP$698,MATCH($A32,'[1]RTO Register'!$AA$2:$AA$698,0))="Yes","School",""),"")</f>
        <v>School</v>
      </c>
      <c r="H32" s="6">
        <f>INDEX('[1]RTO Register'!K$2:K$698,MATCH($A32,'[1]RTO Register'!$AA$2:$AA$698,0))</f>
        <v>1</v>
      </c>
      <c r="I32" s="6">
        <f>INDEX('[1]RTO Register'!L$2:L$698,MATCH($A32,'[1]RTO Register'!$AA$2:$AA$698,0))</f>
        <v>1</v>
      </c>
      <c r="J32" s="6">
        <f>INDEX('[1]RTO Register'!M$2:M$698,MATCH($A32,'[1]RTO Register'!$AA$2:$AA$698,0))</f>
        <v>1</v>
      </c>
      <c r="K32" s="6">
        <f>INDEX('[1]RTO Register'!N$2:N$698,MATCH($A32,'[1]RTO Register'!$AA$2:$AA$698,0))</f>
        <v>1</v>
      </c>
      <c r="L32" s="6">
        <f>INDEX('[1]RTO Register'!O$2:O$698,MATCH($A32,'[1]RTO Register'!$AA$2:$AA$698,0))</f>
        <v>1</v>
      </c>
      <c r="M32" s="6">
        <f>INDEX('[1]RTO Register'!P$2:P$698,MATCH($A32,'[1]RTO Register'!$AA$2:$AA$698,0))</f>
        <v>1</v>
      </c>
      <c r="N32" s="6">
        <f>INDEX('[1]RTO Register'!Q$2:Q$698,MATCH($A32,'[1]RTO Register'!$AA$2:$AA$698,0))</f>
        <v>1</v>
      </c>
      <c r="O32" s="6">
        <f>INDEX('[1]RTO Register'!R$2:R$698,MATCH($A32,'[1]RTO Register'!$AA$2:$AA$698,0))</f>
        <v>1</v>
      </c>
      <c r="P32" s="6">
        <f>INDEX('[1]RTO Register'!S$2:S$698,MATCH($A32,'[1]RTO Register'!$AA$2:$AA$698,0))</f>
        <v>1</v>
      </c>
      <c r="Q32" s="6">
        <f t="shared" si="1"/>
        <v>1</v>
      </c>
    </row>
    <row r="33" spans="1:17" x14ac:dyDescent="0.25">
      <c r="A33" t="str">
        <v>30314</v>
      </c>
      <c r="B33" t="str">
        <v>James Nash State High School</v>
      </c>
      <c r="C33" t="str">
        <v>James Nash State High School</v>
      </c>
      <c r="D33" t="str">
        <f>VLOOKUP(A33,'[1]RTO Register'!AA$2:AH530,8,FALSE)</f>
        <v>4570</v>
      </c>
      <c r="E33" s="8" t="s">
        <v>48</v>
      </c>
      <c r="F33" s="1" t="str">
        <f t="shared" si="0"/>
        <v/>
      </c>
      <c r="G33" s="1" t="str">
        <f>IFERROR(IF(INDEX('[1]RTO Register'!AP$2:AP$698,MATCH($A33,'[1]RTO Register'!$AA$2:$AA$698,0))="Yes","School",""),"")</f>
        <v>School</v>
      </c>
      <c r="H33" s="6">
        <f>INDEX('[1]RTO Register'!K$2:K$698,MATCH($A33,'[1]RTO Register'!$AA$2:$AA$698,0))</f>
        <v>1</v>
      </c>
      <c r="I33" s="6">
        <f>INDEX('[1]RTO Register'!L$2:L$698,MATCH($A33,'[1]RTO Register'!$AA$2:$AA$698,0))</f>
        <v>1</v>
      </c>
      <c r="J33" s="6">
        <f>INDEX('[1]RTO Register'!M$2:M$698,MATCH($A33,'[1]RTO Register'!$AA$2:$AA$698,0))</f>
        <v>1</v>
      </c>
      <c r="K33" s="6">
        <f>INDEX('[1]RTO Register'!N$2:N$698,MATCH($A33,'[1]RTO Register'!$AA$2:$AA$698,0))</f>
        <v>1</v>
      </c>
      <c r="L33" s="6">
        <f>INDEX('[1]RTO Register'!O$2:O$698,MATCH($A33,'[1]RTO Register'!$AA$2:$AA$698,0))</f>
        <v>1</v>
      </c>
      <c r="M33" s="6">
        <f>INDEX('[1]RTO Register'!P$2:P$698,MATCH($A33,'[1]RTO Register'!$AA$2:$AA$698,0))</f>
        <v>1</v>
      </c>
      <c r="N33" s="6">
        <f>INDEX('[1]RTO Register'!Q$2:Q$698,MATCH($A33,'[1]RTO Register'!$AA$2:$AA$698,0))</f>
        <v>1</v>
      </c>
      <c r="O33" s="6">
        <f>INDEX('[1]RTO Register'!R$2:R$698,MATCH($A33,'[1]RTO Register'!$AA$2:$AA$698,0))</f>
        <v>1</v>
      </c>
      <c r="P33" s="6">
        <f>INDEX('[1]RTO Register'!S$2:S$698,MATCH($A33,'[1]RTO Register'!$AA$2:$AA$698,0))</f>
        <v>1</v>
      </c>
      <c r="Q33" s="6">
        <f t="shared" si="1"/>
        <v>1</v>
      </c>
    </row>
    <row r="34" spans="1:17" x14ac:dyDescent="0.25">
      <c r="A34" t="str">
        <v>30337</v>
      </c>
      <c r="B34" t="str">
        <v>Miles State High School</v>
      </c>
      <c r="C34" t="str">
        <v>Miles State High School</v>
      </c>
      <c r="D34" t="str">
        <f>VLOOKUP(A34,'[1]RTO Register'!AA$2:AH531,8,FALSE)</f>
        <v>4415</v>
      </c>
      <c r="E34" s="8" t="s">
        <v>49</v>
      </c>
      <c r="F34" s="1" t="str">
        <f t="shared" si="0"/>
        <v/>
      </c>
      <c r="G34" s="1" t="str">
        <f>IFERROR(IF(INDEX('[1]RTO Register'!AP$2:AP$698,MATCH($A34,'[1]RTO Register'!$AA$2:$AA$698,0))="Yes","School",""),"")</f>
        <v>School</v>
      </c>
      <c r="H34" s="6">
        <f>INDEX('[1]RTO Register'!K$2:K$698,MATCH($A34,'[1]RTO Register'!$AA$2:$AA$698,0))</f>
        <v>1</v>
      </c>
      <c r="I34" s="6">
        <f>INDEX('[1]RTO Register'!L$2:L$698,MATCH($A34,'[1]RTO Register'!$AA$2:$AA$698,0))</f>
        <v>1</v>
      </c>
      <c r="J34" s="6">
        <f>INDEX('[1]RTO Register'!M$2:M$698,MATCH($A34,'[1]RTO Register'!$AA$2:$AA$698,0))</f>
        <v>1</v>
      </c>
      <c r="K34" s="6">
        <f>INDEX('[1]RTO Register'!N$2:N$698,MATCH($A34,'[1]RTO Register'!$AA$2:$AA$698,0))</f>
        <v>1</v>
      </c>
      <c r="L34" s="6">
        <f>INDEX('[1]RTO Register'!O$2:O$698,MATCH($A34,'[1]RTO Register'!$AA$2:$AA$698,0))</f>
        <v>1</v>
      </c>
      <c r="M34" s="6">
        <f>INDEX('[1]RTO Register'!P$2:P$698,MATCH($A34,'[1]RTO Register'!$AA$2:$AA$698,0))</f>
        <v>1</v>
      </c>
      <c r="N34" s="6">
        <f>INDEX('[1]RTO Register'!Q$2:Q$698,MATCH($A34,'[1]RTO Register'!$AA$2:$AA$698,0))</f>
        <v>1</v>
      </c>
      <c r="O34" s="6">
        <f>INDEX('[1]RTO Register'!R$2:R$698,MATCH($A34,'[1]RTO Register'!$AA$2:$AA$698,0))</f>
        <v>1</v>
      </c>
      <c r="P34" s="6">
        <f>INDEX('[1]RTO Register'!S$2:S$698,MATCH($A34,'[1]RTO Register'!$AA$2:$AA$698,0))</f>
        <v>1</v>
      </c>
      <c r="Q34" s="6">
        <f t="shared" si="1"/>
        <v>1</v>
      </c>
    </row>
    <row r="35" spans="1:17" x14ac:dyDescent="0.25">
      <c r="A35" t="str">
        <v>30380</v>
      </c>
      <c r="B35" t="str">
        <v>Deception Bay State High School</v>
      </c>
      <c r="C35" t="str">
        <v>N/A</v>
      </c>
      <c r="D35" t="str">
        <f>VLOOKUP(A35,'[1]RTO Register'!AA$2:AH532,8,FALSE)</f>
        <v>4508</v>
      </c>
      <c r="E35" s="8" t="s">
        <v>50</v>
      </c>
      <c r="F35" s="1" t="str">
        <f t="shared" si="0"/>
        <v/>
      </c>
      <c r="G35" s="1" t="str">
        <f>IFERROR(IF(INDEX('[1]RTO Register'!AP$2:AP$698,MATCH($A35,'[1]RTO Register'!$AA$2:$AA$698,0))="Yes","School",""),"")</f>
        <v>School</v>
      </c>
      <c r="H35" s="6">
        <f>INDEX('[1]RTO Register'!K$2:K$698,MATCH($A35,'[1]RTO Register'!$AA$2:$AA$698,0))</f>
        <v>1</v>
      </c>
      <c r="I35" s="6">
        <f>INDEX('[1]RTO Register'!L$2:L$698,MATCH($A35,'[1]RTO Register'!$AA$2:$AA$698,0))</f>
        <v>1</v>
      </c>
      <c r="J35" s="6">
        <f>INDEX('[1]RTO Register'!M$2:M$698,MATCH($A35,'[1]RTO Register'!$AA$2:$AA$698,0))</f>
        <v>1</v>
      </c>
      <c r="K35" s="6">
        <f>INDEX('[1]RTO Register'!N$2:N$698,MATCH($A35,'[1]RTO Register'!$AA$2:$AA$698,0))</f>
        <v>1</v>
      </c>
      <c r="L35" s="6">
        <f>INDEX('[1]RTO Register'!O$2:O$698,MATCH($A35,'[1]RTO Register'!$AA$2:$AA$698,0))</f>
        <v>1</v>
      </c>
      <c r="M35" s="6">
        <f>INDEX('[1]RTO Register'!P$2:P$698,MATCH($A35,'[1]RTO Register'!$AA$2:$AA$698,0))</f>
        <v>1</v>
      </c>
      <c r="N35" s="6">
        <f>INDEX('[1]RTO Register'!Q$2:Q$698,MATCH($A35,'[1]RTO Register'!$AA$2:$AA$698,0))</f>
        <v>1</v>
      </c>
      <c r="O35" s="6">
        <f>INDEX('[1]RTO Register'!R$2:R$698,MATCH($A35,'[1]RTO Register'!$AA$2:$AA$698,0))</f>
        <v>1</v>
      </c>
      <c r="P35" s="6">
        <f>INDEX('[1]RTO Register'!S$2:S$698,MATCH($A35,'[1]RTO Register'!$AA$2:$AA$698,0))</f>
        <v>1</v>
      </c>
      <c r="Q35" s="6">
        <f t="shared" si="1"/>
        <v>1</v>
      </c>
    </row>
    <row r="36" spans="1:17" x14ac:dyDescent="0.25">
      <c r="A36" t="str">
        <v>30387</v>
      </c>
      <c r="B36" t="str">
        <v>Kirwan State High School</v>
      </c>
      <c r="C36" t="str">
        <v>N/A</v>
      </c>
      <c r="D36" t="str">
        <f>VLOOKUP(A36,'[1]RTO Register'!AA$2:AH533,8,FALSE)</f>
        <v>4817</v>
      </c>
      <c r="E36" s="8" t="s">
        <v>51</v>
      </c>
      <c r="F36" s="1" t="str">
        <f t="shared" si="0"/>
        <v/>
      </c>
      <c r="G36" s="1" t="str">
        <f>IFERROR(IF(INDEX('[1]RTO Register'!AP$2:AP$698,MATCH($A36,'[1]RTO Register'!$AA$2:$AA$698,0))="Yes","School",""),"")</f>
        <v>School</v>
      </c>
      <c r="H36" s="6">
        <f>INDEX('[1]RTO Register'!K$2:K$698,MATCH($A36,'[1]RTO Register'!$AA$2:$AA$698,0))</f>
        <v>1</v>
      </c>
      <c r="I36" s="6">
        <f>INDEX('[1]RTO Register'!L$2:L$698,MATCH($A36,'[1]RTO Register'!$AA$2:$AA$698,0))</f>
        <v>1</v>
      </c>
      <c r="J36" s="6">
        <f>INDEX('[1]RTO Register'!M$2:M$698,MATCH($A36,'[1]RTO Register'!$AA$2:$AA$698,0))</f>
        <v>1</v>
      </c>
      <c r="K36" s="6">
        <f>INDEX('[1]RTO Register'!N$2:N$698,MATCH($A36,'[1]RTO Register'!$AA$2:$AA$698,0))</f>
        <v>1</v>
      </c>
      <c r="L36" s="6">
        <f>INDEX('[1]RTO Register'!O$2:O$698,MATCH($A36,'[1]RTO Register'!$AA$2:$AA$698,0))</f>
        <v>1</v>
      </c>
      <c r="M36" s="6">
        <f>INDEX('[1]RTO Register'!P$2:P$698,MATCH($A36,'[1]RTO Register'!$AA$2:$AA$698,0))</f>
        <v>1</v>
      </c>
      <c r="N36" s="6">
        <f>INDEX('[1]RTO Register'!Q$2:Q$698,MATCH($A36,'[1]RTO Register'!$AA$2:$AA$698,0))</f>
        <v>1</v>
      </c>
      <c r="O36" s="6">
        <f>INDEX('[1]RTO Register'!R$2:R$698,MATCH($A36,'[1]RTO Register'!$AA$2:$AA$698,0))</f>
        <v>1</v>
      </c>
      <c r="P36" s="6">
        <f>INDEX('[1]RTO Register'!S$2:S$698,MATCH($A36,'[1]RTO Register'!$AA$2:$AA$698,0))</f>
        <v>1</v>
      </c>
      <c r="Q36" s="6">
        <f t="shared" si="1"/>
        <v>1</v>
      </c>
    </row>
    <row r="37" spans="1:17" x14ac:dyDescent="0.25">
      <c r="A37" t="str">
        <v>30390</v>
      </c>
      <c r="B37" t="str">
        <v>Lockyer District State High School</v>
      </c>
      <c r="C37" t="str">
        <v>Lockyer District State High School</v>
      </c>
      <c r="D37" t="str">
        <f>VLOOKUP(A37,'[1]RTO Register'!AA$2:AH534,8,FALSE)</f>
        <v>4343</v>
      </c>
      <c r="E37" s="8" t="s">
        <v>52</v>
      </c>
      <c r="F37" s="1" t="str">
        <f t="shared" si="0"/>
        <v/>
      </c>
      <c r="G37" s="1" t="str">
        <f>IFERROR(IF(INDEX('[1]RTO Register'!AP$2:AP$698,MATCH($A37,'[1]RTO Register'!$AA$2:$AA$698,0))="Yes","School",""),"")</f>
        <v>School</v>
      </c>
      <c r="H37" s="6">
        <f>INDEX('[1]RTO Register'!K$2:K$698,MATCH($A37,'[1]RTO Register'!$AA$2:$AA$698,0))</f>
        <v>1</v>
      </c>
      <c r="I37" s="6">
        <f>INDEX('[1]RTO Register'!L$2:L$698,MATCH($A37,'[1]RTO Register'!$AA$2:$AA$698,0))</f>
        <v>1</v>
      </c>
      <c r="J37" s="6">
        <f>INDEX('[1]RTO Register'!M$2:M$698,MATCH($A37,'[1]RTO Register'!$AA$2:$AA$698,0))</f>
        <v>1</v>
      </c>
      <c r="K37" s="6">
        <f>INDEX('[1]RTO Register'!N$2:N$698,MATCH($A37,'[1]RTO Register'!$AA$2:$AA$698,0))</f>
        <v>1</v>
      </c>
      <c r="L37" s="6">
        <f>INDEX('[1]RTO Register'!O$2:O$698,MATCH($A37,'[1]RTO Register'!$AA$2:$AA$698,0))</f>
        <v>1</v>
      </c>
      <c r="M37" s="6">
        <f>INDEX('[1]RTO Register'!P$2:P$698,MATCH($A37,'[1]RTO Register'!$AA$2:$AA$698,0))</f>
        <v>1</v>
      </c>
      <c r="N37" s="6">
        <f>INDEX('[1]RTO Register'!Q$2:Q$698,MATCH($A37,'[1]RTO Register'!$AA$2:$AA$698,0))</f>
        <v>1</v>
      </c>
      <c r="O37" s="6">
        <f>INDEX('[1]RTO Register'!R$2:R$698,MATCH($A37,'[1]RTO Register'!$AA$2:$AA$698,0))</f>
        <v>1</v>
      </c>
      <c r="P37" s="6">
        <f>INDEX('[1]RTO Register'!S$2:S$698,MATCH($A37,'[1]RTO Register'!$AA$2:$AA$698,0))</f>
        <v>1</v>
      </c>
      <c r="Q37" s="6">
        <f t="shared" si="1"/>
        <v>1</v>
      </c>
    </row>
    <row r="38" spans="1:17" x14ac:dyDescent="0.25">
      <c r="A38" t="str">
        <v>30409</v>
      </c>
      <c r="B38" t="str">
        <v>Mount Morgan State High School</v>
      </c>
      <c r="C38" t="str">
        <v>N/A</v>
      </c>
      <c r="D38" t="str">
        <f>VLOOKUP(A38,'[1]RTO Register'!AA$2:AH535,8,FALSE)</f>
        <v>4714</v>
      </c>
      <c r="E38" s="8" t="s">
        <v>53</v>
      </c>
      <c r="F38" s="1" t="str">
        <f t="shared" si="0"/>
        <v/>
      </c>
      <c r="G38" s="1" t="str">
        <f>IFERROR(IF(INDEX('[1]RTO Register'!AP$2:AP$698,MATCH($A38,'[1]RTO Register'!$AA$2:$AA$698,0))="Yes","School",""),"")</f>
        <v>School</v>
      </c>
      <c r="H38" s="6">
        <f>INDEX('[1]RTO Register'!K$2:K$698,MATCH($A38,'[1]RTO Register'!$AA$2:$AA$698,0))</f>
        <v>1</v>
      </c>
      <c r="I38" s="6">
        <f>INDEX('[1]RTO Register'!L$2:L$698,MATCH($A38,'[1]RTO Register'!$AA$2:$AA$698,0))</f>
        <v>1</v>
      </c>
      <c r="J38" s="6">
        <f>INDEX('[1]RTO Register'!M$2:M$698,MATCH($A38,'[1]RTO Register'!$AA$2:$AA$698,0))</f>
        <v>1</v>
      </c>
      <c r="K38" s="6">
        <f>INDEX('[1]RTO Register'!N$2:N$698,MATCH($A38,'[1]RTO Register'!$AA$2:$AA$698,0))</f>
        <v>1</v>
      </c>
      <c r="L38" s="6">
        <f>INDEX('[1]RTO Register'!O$2:O$698,MATCH($A38,'[1]RTO Register'!$AA$2:$AA$698,0))</f>
        <v>1</v>
      </c>
      <c r="M38" s="6">
        <f>INDEX('[1]RTO Register'!P$2:P$698,MATCH($A38,'[1]RTO Register'!$AA$2:$AA$698,0))</f>
        <v>1</v>
      </c>
      <c r="N38" s="6">
        <f>INDEX('[1]RTO Register'!Q$2:Q$698,MATCH($A38,'[1]RTO Register'!$AA$2:$AA$698,0))</f>
        <v>1</v>
      </c>
      <c r="O38" s="6">
        <f>INDEX('[1]RTO Register'!R$2:R$698,MATCH($A38,'[1]RTO Register'!$AA$2:$AA$698,0))</f>
        <v>1</v>
      </c>
      <c r="P38" s="6">
        <f>INDEX('[1]RTO Register'!S$2:S$698,MATCH($A38,'[1]RTO Register'!$AA$2:$AA$698,0))</f>
        <v>1</v>
      </c>
      <c r="Q38" s="6">
        <f t="shared" si="1"/>
        <v>1</v>
      </c>
    </row>
    <row r="39" spans="1:17" x14ac:dyDescent="0.25">
      <c r="A39" t="str">
        <v>30460</v>
      </c>
      <c r="B39" t="str">
        <v>Yeronga State High School</v>
      </c>
      <c r="C39" t="str">
        <v>N/A</v>
      </c>
      <c r="D39" t="str">
        <f>VLOOKUP(A39,'[1]RTO Register'!AA$2:AH536,8,FALSE)</f>
        <v>4104</v>
      </c>
      <c r="E39" s="8" t="s">
        <v>54</v>
      </c>
      <c r="F39" s="1" t="str">
        <f t="shared" si="0"/>
        <v/>
      </c>
      <c r="G39" s="1" t="str">
        <f>IFERROR(IF(INDEX('[1]RTO Register'!AP$2:AP$698,MATCH($A39,'[1]RTO Register'!$AA$2:$AA$698,0))="Yes","School",""),"")</f>
        <v>School</v>
      </c>
      <c r="H39" s="6">
        <f>INDEX('[1]RTO Register'!K$2:K$698,MATCH($A39,'[1]RTO Register'!$AA$2:$AA$698,0))</f>
        <v>1</v>
      </c>
      <c r="I39" s="6">
        <f>INDEX('[1]RTO Register'!L$2:L$698,MATCH($A39,'[1]RTO Register'!$AA$2:$AA$698,0))</f>
        <v>1</v>
      </c>
      <c r="J39" s="6">
        <f>INDEX('[1]RTO Register'!M$2:M$698,MATCH($A39,'[1]RTO Register'!$AA$2:$AA$698,0))</f>
        <v>1</v>
      </c>
      <c r="K39" s="6">
        <f>INDEX('[1]RTO Register'!N$2:N$698,MATCH($A39,'[1]RTO Register'!$AA$2:$AA$698,0))</f>
        <v>1</v>
      </c>
      <c r="L39" s="6">
        <f>INDEX('[1]RTO Register'!O$2:O$698,MATCH($A39,'[1]RTO Register'!$AA$2:$AA$698,0))</f>
        <v>1</v>
      </c>
      <c r="M39" s="6">
        <f>INDEX('[1]RTO Register'!P$2:P$698,MATCH($A39,'[1]RTO Register'!$AA$2:$AA$698,0))</f>
        <v>1</v>
      </c>
      <c r="N39" s="6">
        <f>INDEX('[1]RTO Register'!Q$2:Q$698,MATCH($A39,'[1]RTO Register'!$AA$2:$AA$698,0))</f>
        <v>1</v>
      </c>
      <c r="O39" s="6">
        <f>INDEX('[1]RTO Register'!R$2:R$698,MATCH($A39,'[1]RTO Register'!$AA$2:$AA$698,0))</f>
        <v>1</v>
      </c>
      <c r="P39" s="6">
        <f>INDEX('[1]RTO Register'!S$2:S$698,MATCH($A39,'[1]RTO Register'!$AA$2:$AA$698,0))</f>
        <v>1</v>
      </c>
      <c r="Q39" s="6">
        <f t="shared" si="1"/>
        <v>1</v>
      </c>
    </row>
    <row r="40" spans="1:17" x14ac:dyDescent="0.25">
      <c r="A40" t="str">
        <v>30477</v>
      </c>
      <c r="B40" t="str">
        <v>Industry Training QLD Pty Ltd</v>
      </c>
      <c r="C40" t="str">
        <v>Industry Training QLD</v>
      </c>
      <c r="D40" t="str">
        <f>VLOOKUP(A40,'[1]RTO Register'!AA$2:AH537,8,FALSE)</f>
        <v>4818</v>
      </c>
      <c r="E40" s="8" t="s">
        <v>55</v>
      </c>
      <c r="F40" s="1" t="str">
        <f t="shared" si="0"/>
        <v/>
      </c>
      <c r="G40" s="1" t="str">
        <f>IFERROR(IF(INDEX('[1]RTO Register'!AP$2:AP$698,MATCH($A40,'[1]RTO Register'!$AA$2:$AA$698,0))="Yes","School",""),"")</f>
        <v/>
      </c>
      <c r="H40" s="6">
        <f>INDEX('[1]RTO Register'!K$2:K$698,MATCH($A40,'[1]RTO Register'!$AA$2:$AA$698,0))</f>
        <v>1</v>
      </c>
      <c r="I40" s="6">
        <f>INDEX('[1]RTO Register'!L$2:L$698,MATCH($A40,'[1]RTO Register'!$AA$2:$AA$698,0))</f>
        <v>1</v>
      </c>
      <c r="J40" s="6">
        <f>INDEX('[1]RTO Register'!M$2:M$698,MATCH($A40,'[1]RTO Register'!$AA$2:$AA$698,0))</f>
        <v>1</v>
      </c>
      <c r="K40" s="6">
        <f>INDEX('[1]RTO Register'!N$2:N$698,MATCH($A40,'[1]RTO Register'!$AA$2:$AA$698,0))</f>
        <v>1</v>
      </c>
      <c r="L40" s="6">
        <f>INDEX('[1]RTO Register'!O$2:O$698,MATCH($A40,'[1]RTO Register'!$AA$2:$AA$698,0))</f>
        <v>1</v>
      </c>
      <c r="M40" s="6">
        <f>INDEX('[1]RTO Register'!P$2:P$698,MATCH($A40,'[1]RTO Register'!$AA$2:$AA$698,0))</f>
        <v>1</v>
      </c>
      <c r="N40" s="6">
        <f>INDEX('[1]RTO Register'!Q$2:Q$698,MATCH($A40,'[1]RTO Register'!$AA$2:$AA$698,0))</f>
        <v>1</v>
      </c>
      <c r="O40" s="6">
        <f>INDEX('[1]RTO Register'!R$2:R$698,MATCH($A40,'[1]RTO Register'!$AA$2:$AA$698,0))</f>
        <v>1</v>
      </c>
      <c r="P40" s="6">
        <f>INDEX('[1]RTO Register'!S$2:S$698,MATCH($A40,'[1]RTO Register'!$AA$2:$AA$698,0))</f>
        <v>1</v>
      </c>
      <c r="Q40" s="6">
        <f t="shared" si="1"/>
        <v>1</v>
      </c>
    </row>
    <row r="41" spans="1:17" x14ac:dyDescent="0.25">
      <c r="A41" t="str">
        <v>30484</v>
      </c>
      <c r="B41" t="str">
        <v>Stanthorpe State High School</v>
      </c>
      <c r="C41" t="str">
        <v>N/A</v>
      </c>
      <c r="D41" t="str">
        <f>VLOOKUP(A41,'[1]RTO Register'!AA$2:AH538,8,FALSE)</f>
        <v>4380</v>
      </c>
      <c r="E41" s="8" t="s">
        <v>56</v>
      </c>
      <c r="F41" s="1" t="str">
        <f t="shared" si="0"/>
        <v/>
      </c>
      <c r="G41" s="1" t="str">
        <f>IFERROR(IF(INDEX('[1]RTO Register'!AP$2:AP$698,MATCH($A41,'[1]RTO Register'!$AA$2:$AA$698,0))="Yes","School",""),"")</f>
        <v>School</v>
      </c>
      <c r="H41" s="6">
        <f>INDEX('[1]RTO Register'!K$2:K$698,MATCH($A41,'[1]RTO Register'!$AA$2:$AA$698,0))</f>
        <v>1</v>
      </c>
      <c r="I41" s="6">
        <f>INDEX('[1]RTO Register'!L$2:L$698,MATCH($A41,'[1]RTO Register'!$AA$2:$AA$698,0))</f>
        <v>1</v>
      </c>
      <c r="J41" s="6">
        <f>INDEX('[1]RTO Register'!M$2:M$698,MATCH($A41,'[1]RTO Register'!$AA$2:$AA$698,0))</f>
        <v>1</v>
      </c>
      <c r="K41" s="6">
        <f>INDEX('[1]RTO Register'!N$2:N$698,MATCH($A41,'[1]RTO Register'!$AA$2:$AA$698,0))</f>
        <v>1</v>
      </c>
      <c r="L41" s="6">
        <f>INDEX('[1]RTO Register'!O$2:O$698,MATCH($A41,'[1]RTO Register'!$AA$2:$AA$698,0))</f>
        <v>1</v>
      </c>
      <c r="M41" s="6">
        <f>INDEX('[1]RTO Register'!P$2:P$698,MATCH($A41,'[1]RTO Register'!$AA$2:$AA$698,0))</f>
        <v>1</v>
      </c>
      <c r="N41" s="6">
        <f>INDEX('[1]RTO Register'!Q$2:Q$698,MATCH($A41,'[1]RTO Register'!$AA$2:$AA$698,0))</f>
        <v>1</v>
      </c>
      <c r="O41" s="6">
        <f>INDEX('[1]RTO Register'!R$2:R$698,MATCH($A41,'[1]RTO Register'!$AA$2:$AA$698,0))</f>
        <v>1</v>
      </c>
      <c r="P41" s="6">
        <f>INDEX('[1]RTO Register'!S$2:S$698,MATCH($A41,'[1]RTO Register'!$AA$2:$AA$698,0))</f>
        <v>1</v>
      </c>
      <c r="Q41" s="6">
        <f t="shared" si="1"/>
        <v>1</v>
      </c>
    </row>
    <row r="42" spans="1:17" x14ac:dyDescent="0.25">
      <c r="A42" t="str">
        <v>30527</v>
      </c>
      <c r="B42" t="str">
        <v>The Corporation of the Trustees of the Roman Catholic Archdiocese of Brisbane</v>
      </c>
      <c r="C42" t="str">
        <v>N/A</v>
      </c>
      <c r="D42" t="str">
        <f>VLOOKUP(A42,'[1]RTO Register'!AA$2:AH539,8,FALSE)</f>
        <v>4207</v>
      </c>
      <c r="E42" s="8" t="s">
        <v>57</v>
      </c>
      <c r="F42" s="1" t="str">
        <f t="shared" si="0"/>
        <v/>
      </c>
      <c r="G42" s="1" t="str">
        <f>IFERROR(IF(INDEX('[1]RTO Register'!AP$2:AP$698,MATCH($A42,'[1]RTO Register'!$AA$2:$AA$698,0))="Yes","School",""),"")</f>
        <v>School</v>
      </c>
      <c r="H42" s="6">
        <f>INDEX('[1]RTO Register'!K$2:K$698,MATCH($A42,'[1]RTO Register'!$AA$2:$AA$698,0))</f>
        <v>1</v>
      </c>
      <c r="I42" s="6">
        <f>INDEX('[1]RTO Register'!L$2:L$698,MATCH($A42,'[1]RTO Register'!$AA$2:$AA$698,0))</f>
        <v>1</v>
      </c>
      <c r="J42" s="6">
        <f>INDEX('[1]RTO Register'!M$2:M$698,MATCH($A42,'[1]RTO Register'!$AA$2:$AA$698,0))</f>
        <v>1</v>
      </c>
      <c r="K42" s="6">
        <f>INDEX('[1]RTO Register'!N$2:N$698,MATCH($A42,'[1]RTO Register'!$AA$2:$AA$698,0))</f>
        <v>1</v>
      </c>
      <c r="L42" s="6">
        <f>INDEX('[1]RTO Register'!O$2:O$698,MATCH($A42,'[1]RTO Register'!$AA$2:$AA$698,0))</f>
        <v>1</v>
      </c>
      <c r="M42" s="6">
        <f>INDEX('[1]RTO Register'!P$2:P$698,MATCH($A42,'[1]RTO Register'!$AA$2:$AA$698,0))</f>
        <v>1</v>
      </c>
      <c r="N42" s="6">
        <f>INDEX('[1]RTO Register'!Q$2:Q$698,MATCH($A42,'[1]RTO Register'!$AA$2:$AA$698,0))</f>
        <v>1</v>
      </c>
      <c r="O42" s="6">
        <f>INDEX('[1]RTO Register'!R$2:R$698,MATCH($A42,'[1]RTO Register'!$AA$2:$AA$698,0))</f>
        <v>1</v>
      </c>
      <c r="P42" s="6">
        <f>INDEX('[1]RTO Register'!S$2:S$698,MATCH($A42,'[1]RTO Register'!$AA$2:$AA$698,0))</f>
        <v>1</v>
      </c>
      <c r="Q42" s="6">
        <f t="shared" si="1"/>
        <v>1</v>
      </c>
    </row>
    <row r="43" spans="1:17" x14ac:dyDescent="0.25">
      <c r="A43" t="str">
        <v>30614</v>
      </c>
      <c r="B43" t="str">
        <v>YWAM Townsville Assoc. Inc.</v>
      </c>
      <c r="C43" t="str">
        <v>YWAM Training Townsville</v>
      </c>
      <c r="D43" t="str">
        <f>VLOOKUP(A43,'[1]RTO Register'!AA$2:AH540,8,FALSE)</f>
        <v>4810</v>
      </c>
      <c r="E43" s="8" t="s">
        <v>58</v>
      </c>
      <c r="F43" s="1" t="str">
        <f t="shared" si="0"/>
        <v/>
      </c>
      <c r="G43" s="1" t="str">
        <f>IFERROR(IF(INDEX('[1]RTO Register'!AP$2:AP$698,MATCH($A43,'[1]RTO Register'!$AA$2:$AA$698,0))="Yes","School",""),"")</f>
        <v/>
      </c>
      <c r="H43" s="6">
        <f>INDEX('[1]RTO Register'!K$2:K$698,MATCH($A43,'[1]RTO Register'!$AA$2:$AA$698,0))</f>
        <v>1</v>
      </c>
      <c r="I43" s="6">
        <f>INDEX('[1]RTO Register'!L$2:L$698,MATCH($A43,'[1]RTO Register'!$AA$2:$AA$698,0))</f>
        <v>1</v>
      </c>
      <c r="J43" s="6">
        <f>INDEX('[1]RTO Register'!M$2:M$698,MATCH($A43,'[1]RTO Register'!$AA$2:$AA$698,0))</f>
        <v>1</v>
      </c>
      <c r="K43" s="6">
        <f>INDEX('[1]RTO Register'!N$2:N$698,MATCH($A43,'[1]RTO Register'!$AA$2:$AA$698,0))</f>
        <v>1</v>
      </c>
      <c r="L43" s="6">
        <f>INDEX('[1]RTO Register'!O$2:O$698,MATCH($A43,'[1]RTO Register'!$AA$2:$AA$698,0))</f>
        <v>1</v>
      </c>
      <c r="M43" s="6">
        <f>INDEX('[1]RTO Register'!P$2:P$698,MATCH($A43,'[1]RTO Register'!$AA$2:$AA$698,0))</f>
        <v>1</v>
      </c>
      <c r="N43" s="6">
        <f>INDEX('[1]RTO Register'!Q$2:Q$698,MATCH($A43,'[1]RTO Register'!$AA$2:$AA$698,0))</f>
        <v>1</v>
      </c>
      <c r="O43" s="6">
        <f>INDEX('[1]RTO Register'!R$2:R$698,MATCH($A43,'[1]RTO Register'!$AA$2:$AA$698,0))</f>
        <v>1</v>
      </c>
      <c r="P43" s="6">
        <f>INDEX('[1]RTO Register'!S$2:S$698,MATCH($A43,'[1]RTO Register'!$AA$2:$AA$698,0))</f>
        <v>1</v>
      </c>
      <c r="Q43" s="6">
        <f t="shared" si="1"/>
        <v>1</v>
      </c>
    </row>
    <row r="44" spans="1:17" x14ac:dyDescent="0.25">
      <c r="A44" t="str">
        <v>30622</v>
      </c>
      <c r="B44" t="str">
        <v>Worklinks QLD Ltd</v>
      </c>
      <c r="C44" t="str">
        <v>N/A</v>
      </c>
      <c r="D44" t="str">
        <f>VLOOKUP(A44,'[1]RTO Register'!AA$2:AH541,8,FALSE)</f>
        <v>4510</v>
      </c>
      <c r="E44" s="8" t="s">
        <v>59</v>
      </c>
      <c r="F44" s="1" t="str">
        <f t="shared" si="0"/>
        <v/>
      </c>
      <c r="G44" s="1" t="str">
        <f>IFERROR(IF(INDEX('[1]RTO Register'!AP$2:AP$698,MATCH($A44,'[1]RTO Register'!$AA$2:$AA$698,0))="Yes","School",""),"")</f>
        <v/>
      </c>
      <c r="H44" s="6">
        <f>INDEX('[1]RTO Register'!K$2:K$698,MATCH($A44,'[1]RTO Register'!$AA$2:$AA$698,0))</f>
        <v>1</v>
      </c>
      <c r="I44" s="6">
        <f>INDEX('[1]RTO Register'!L$2:L$698,MATCH($A44,'[1]RTO Register'!$AA$2:$AA$698,0))</f>
        <v>1</v>
      </c>
      <c r="J44" s="6">
        <f>INDEX('[1]RTO Register'!M$2:M$698,MATCH($A44,'[1]RTO Register'!$AA$2:$AA$698,0))</f>
        <v>1</v>
      </c>
      <c r="K44" s="6">
        <f>INDEX('[1]RTO Register'!N$2:N$698,MATCH($A44,'[1]RTO Register'!$AA$2:$AA$698,0))</f>
        <v>1</v>
      </c>
      <c r="L44" s="6">
        <f>INDEX('[1]RTO Register'!O$2:O$698,MATCH($A44,'[1]RTO Register'!$AA$2:$AA$698,0))</f>
        <v>1</v>
      </c>
      <c r="M44" s="6">
        <f>INDEX('[1]RTO Register'!P$2:P$698,MATCH($A44,'[1]RTO Register'!$AA$2:$AA$698,0))</f>
        <v>1</v>
      </c>
      <c r="N44" s="6">
        <f>INDEX('[1]RTO Register'!Q$2:Q$698,MATCH($A44,'[1]RTO Register'!$AA$2:$AA$698,0))</f>
        <v>1</v>
      </c>
      <c r="O44" s="6">
        <f>INDEX('[1]RTO Register'!R$2:R$698,MATCH($A44,'[1]RTO Register'!$AA$2:$AA$698,0))</f>
        <v>1</v>
      </c>
      <c r="P44" s="6">
        <f>INDEX('[1]RTO Register'!S$2:S$698,MATCH($A44,'[1]RTO Register'!$AA$2:$AA$698,0))</f>
        <v>1</v>
      </c>
      <c r="Q44" s="6">
        <f t="shared" si="1"/>
        <v>1</v>
      </c>
    </row>
    <row r="45" spans="1:17" x14ac:dyDescent="0.25">
      <c r="A45" t="str">
        <v>30660</v>
      </c>
      <c r="B45" t="str">
        <v>Michael Robert Bakhash</v>
      </c>
      <c r="C45" t="str">
        <v>Bakhash Safety</v>
      </c>
      <c r="D45" t="str">
        <f>VLOOKUP(A45,'[1]RTO Register'!AA$2:AH542,8,FALSE)</f>
        <v>4825</v>
      </c>
      <c r="E45" s="8" t="s">
        <v>60</v>
      </c>
      <c r="F45" s="1" t="str">
        <f t="shared" si="0"/>
        <v/>
      </c>
      <c r="G45" s="1" t="str">
        <f>IFERROR(IF(INDEX('[1]RTO Register'!AP$2:AP$698,MATCH($A45,'[1]RTO Register'!$AA$2:$AA$698,0))="Yes","School",""),"")</f>
        <v/>
      </c>
      <c r="H45" s="6">
        <f>INDEX('[1]RTO Register'!K$2:K$698,MATCH($A45,'[1]RTO Register'!$AA$2:$AA$698,0))</f>
        <v>1</v>
      </c>
      <c r="I45" s="6">
        <f>INDEX('[1]RTO Register'!L$2:L$698,MATCH($A45,'[1]RTO Register'!$AA$2:$AA$698,0))</f>
        <v>1</v>
      </c>
      <c r="J45" s="6">
        <f>INDEX('[1]RTO Register'!M$2:M$698,MATCH($A45,'[1]RTO Register'!$AA$2:$AA$698,0))</f>
        <v>1</v>
      </c>
      <c r="K45" s="6">
        <f>INDEX('[1]RTO Register'!N$2:N$698,MATCH($A45,'[1]RTO Register'!$AA$2:$AA$698,0))</f>
        <v>1</v>
      </c>
      <c r="L45" s="6">
        <f>INDEX('[1]RTO Register'!O$2:O$698,MATCH($A45,'[1]RTO Register'!$AA$2:$AA$698,0))</f>
        <v>1</v>
      </c>
      <c r="M45" s="6">
        <f>INDEX('[1]RTO Register'!P$2:P$698,MATCH($A45,'[1]RTO Register'!$AA$2:$AA$698,0))</f>
        <v>1</v>
      </c>
      <c r="N45" s="6">
        <f>INDEX('[1]RTO Register'!Q$2:Q$698,MATCH($A45,'[1]RTO Register'!$AA$2:$AA$698,0))</f>
        <v>1</v>
      </c>
      <c r="O45" s="6">
        <f>INDEX('[1]RTO Register'!R$2:R$698,MATCH($A45,'[1]RTO Register'!$AA$2:$AA$698,0))</f>
        <v>1</v>
      </c>
      <c r="P45" s="6">
        <f>INDEX('[1]RTO Register'!S$2:S$698,MATCH($A45,'[1]RTO Register'!$AA$2:$AA$698,0))</f>
        <v>1</v>
      </c>
      <c r="Q45" s="6">
        <f t="shared" si="1"/>
        <v>1</v>
      </c>
    </row>
    <row r="46" spans="1:17" x14ac:dyDescent="0.25">
      <c r="A46" t="str">
        <v>30820</v>
      </c>
      <c r="B46" t="str">
        <v>Down Under Training and Consulting Pty Ltd</v>
      </c>
      <c r="C46" t="str">
        <v>Down Under Training</v>
      </c>
      <c r="D46" t="str">
        <f>VLOOKUP(A46,'[1]RTO Register'!AA$2:AH543,8,FALSE)</f>
        <v>4740</v>
      </c>
      <c r="E46" s="8" t="s">
        <v>61</v>
      </c>
      <c r="F46" s="1" t="str">
        <f t="shared" si="0"/>
        <v/>
      </c>
      <c r="G46" s="1" t="str">
        <f>IFERROR(IF(INDEX('[1]RTO Register'!AP$2:AP$698,MATCH($A46,'[1]RTO Register'!$AA$2:$AA$698,0))="Yes","School",""),"")</f>
        <v/>
      </c>
      <c r="H46" s="6">
        <f>INDEX('[1]RTO Register'!K$2:K$698,MATCH($A46,'[1]RTO Register'!$AA$2:$AA$698,0))</f>
        <v>1</v>
      </c>
      <c r="I46" s="6">
        <f>INDEX('[1]RTO Register'!L$2:L$698,MATCH($A46,'[1]RTO Register'!$AA$2:$AA$698,0))</f>
        <v>1</v>
      </c>
      <c r="J46" s="6">
        <f>INDEX('[1]RTO Register'!M$2:M$698,MATCH($A46,'[1]RTO Register'!$AA$2:$AA$698,0))</f>
        <v>1</v>
      </c>
      <c r="K46" s="6">
        <f>INDEX('[1]RTO Register'!N$2:N$698,MATCH($A46,'[1]RTO Register'!$AA$2:$AA$698,0))</f>
        <v>1</v>
      </c>
      <c r="L46" s="6">
        <f>INDEX('[1]RTO Register'!O$2:O$698,MATCH($A46,'[1]RTO Register'!$AA$2:$AA$698,0))</f>
        <v>1</v>
      </c>
      <c r="M46" s="6">
        <f>INDEX('[1]RTO Register'!P$2:P$698,MATCH($A46,'[1]RTO Register'!$AA$2:$AA$698,0))</f>
        <v>1</v>
      </c>
      <c r="N46" s="6">
        <f>INDEX('[1]RTO Register'!Q$2:Q$698,MATCH($A46,'[1]RTO Register'!$AA$2:$AA$698,0))</f>
        <v>1</v>
      </c>
      <c r="O46" s="6">
        <f>INDEX('[1]RTO Register'!R$2:R$698,MATCH($A46,'[1]RTO Register'!$AA$2:$AA$698,0))</f>
        <v>1</v>
      </c>
      <c r="P46" s="6">
        <f>INDEX('[1]RTO Register'!S$2:S$698,MATCH($A46,'[1]RTO Register'!$AA$2:$AA$698,0))</f>
        <v>1</v>
      </c>
      <c r="Q46" s="6">
        <f t="shared" si="1"/>
        <v>1</v>
      </c>
    </row>
    <row r="47" spans="1:17" x14ac:dyDescent="0.25">
      <c r="A47" t="str">
        <v>30950</v>
      </c>
      <c r="B47" t="str">
        <v>Cleveland Education and Training Centre</v>
      </c>
      <c r="C47" t="str">
        <v>N/A</v>
      </c>
      <c r="D47" t="str">
        <f>VLOOKUP(A47,'[1]RTO Register'!AA$2:AH544,8,FALSE)</f>
        <v>4810</v>
      </c>
      <c r="E47" s="8" t="s">
        <v>62</v>
      </c>
      <c r="F47" s="1" t="str">
        <f t="shared" si="0"/>
        <v/>
      </c>
      <c r="G47" s="1" t="str">
        <f>IFERROR(IF(INDEX('[1]RTO Register'!AP$2:AP$698,MATCH($A47,'[1]RTO Register'!$AA$2:$AA$698,0))="Yes","School",""),"")</f>
        <v>School</v>
      </c>
      <c r="H47" s="6">
        <f>INDEX('[1]RTO Register'!K$2:K$698,MATCH($A47,'[1]RTO Register'!$AA$2:$AA$698,0))</f>
        <v>1</v>
      </c>
      <c r="I47" s="6">
        <f>INDEX('[1]RTO Register'!L$2:L$698,MATCH($A47,'[1]RTO Register'!$AA$2:$AA$698,0))</f>
        <v>1</v>
      </c>
      <c r="J47" s="6">
        <f>INDEX('[1]RTO Register'!M$2:M$698,MATCH($A47,'[1]RTO Register'!$AA$2:$AA$698,0))</f>
        <v>1</v>
      </c>
      <c r="K47" s="6">
        <f>INDEX('[1]RTO Register'!N$2:N$698,MATCH($A47,'[1]RTO Register'!$AA$2:$AA$698,0))</f>
        <v>1</v>
      </c>
      <c r="L47" s="6">
        <f>INDEX('[1]RTO Register'!O$2:O$698,MATCH($A47,'[1]RTO Register'!$AA$2:$AA$698,0))</f>
        <v>1</v>
      </c>
      <c r="M47" s="6">
        <f>INDEX('[1]RTO Register'!P$2:P$698,MATCH($A47,'[1]RTO Register'!$AA$2:$AA$698,0))</f>
        <v>1</v>
      </c>
      <c r="N47" s="6">
        <f>INDEX('[1]RTO Register'!Q$2:Q$698,MATCH($A47,'[1]RTO Register'!$AA$2:$AA$698,0))</f>
        <v>1</v>
      </c>
      <c r="O47" s="6">
        <f>INDEX('[1]RTO Register'!R$2:R$698,MATCH($A47,'[1]RTO Register'!$AA$2:$AA$698,0))</f>
        <v>1</v>
      </c>
      <c r="P47" s="6">
        <f>INDEX('[1]RTO Register'!S$2:S$698,MATCH($A47,'[1]RTO Register'!$AA$2:$AA$698,0))</f>
        <v>1</v>
      </c>
      <c r="Q47" s="6">
        <f t="shared" si="1"/>
        <v>1</v>
      </c>
    </row>
    <row r="48" spans="1:17" x14ac:dyDescent="0.25">
      <c r="A48" t="str">
        <v>31092</v>
      </c>
      <c r="B48" t="str">
        <v>OHSA Occupational Health Services Australia Pty Ltd as Trustee for the Phillips Family Trust (OHSA)</v>
      </c>
      <c r="C48" t="str">
        <v>OHSA Occupational Health Services Australia Pty Ltd</v>
      </c>
      <c r="D48" t="str">
        <f>VLOOKUP(A48,'[1]RTO Register'!AA$2:AH545,8,FALSE)</f>
        <v>4219</v>
      </c>
      <c r="E48" s="8" t="s">
        <v>63</v>
      </c>
      <c r="F48" s="1" t="str">
        <f t="shared" si="0"/>
        <v/>
      </c>
      <c r="G48" s="1" t="str">
        <f>IFERROR(IF(INDEX('[1]RTO Register'!AP$2:AP$698,MATCH($A48,'[1]RTO Register'!$AA$2:$AA$698,0))="Yes","School",""),"")</f>
        <v/>
      </c>
      <c r="H48" s="6">
        <f>INDEX('[1]RTO Register'!K$2:K$698,MATCH($A48,'[1]RTO Register'!$AA$2:$AA$698,0))</f>
        <v>1</v>
      </c>
      <c r="I48" s="6">
        <f>INDEX('[1]RTO Register'!L$2:L$698,MATCH($A48,'[1]RTO Register'!$AA$2:$AA$698,0))</f>
        <v>1</v>
      </c>
      <c r="J48" s="6">
        <f>INDEX('[1]RTO Register'!M$2:M$698,MATCH($A48,'[1]RTO Register'!$AA$2:$AA$698,0))</f>
        <v>1</v>
      </c>
      <c r="K48" s="6">
        <f>INDEX('[1]RTO Register'!N$2:N$698,MATCH($A48,'[1]RTO Register'!$AA$2:$AA$698,0))</f>
        <v>1</v>
      </c>
      <c r="L48" s="6">
        <f>INDEX('[1]RTO Register'!O$2:O$698,MATCH($A48,'[1]RTO Register'!$AA$2:$AA$698,0))</f>
        <v>1</v>
      </c>
      <c r="M48" s="6">
        <f>INDEX('[1]RTO Register'!P$2:P$698,MATCH($A48,'[1]RTO Register'!$AA$2:$AA$698,0))</f>
        <v>1</v>
      </c>
      <c r="N48" s="6">
        <f>INDEX('[1]RTO Register'!Q$2:Q$698,MATCH($A48,'[1]RTO Register'!$AA$2:$AA$698,0))</f>
        <v>1</v>
      </c>
      <c r="O48" s="6">
        <f>INDEX('[1]RTO Register'!R$2:R$698,MATCH($A48,'[1]RTO Register'!$AA$2:$AA$698,0))</f>
        <v>1</v>
      </c>
      <c r="P48" s="6">
        <f>INDEX('[1]RTO Register'!S$2:S$698,MATCH($A48,'[1]RTO Register'!$AA$2:$AA$698,0))</f>
        <v>1</v>
      </c>
      <c r="Q48" s="6">
        <f t="shared" si="1"/>
        <v>1</v>
      </c>
    </row>
    <row r="49" spans="1:17" x14ac:dyDescent="0.25">
      <c r="A49" t="str">
        <v>31116</v>
      </c>
      <c r="B49" t="str">
        <v>Yalga-Binbi Institute for Community Development Aboriginal and Torres Strait Islanders Corporation</v>
      </c>
      <c r="C49" t="str">
        <v>N/A</v>
      </c>
      <c r="D49" t="str">
        <f>VLOOKUP(A49,'[1]RTO Register'!AA$2:AH546,8,FALSE)</f>
        <v>4670</v>
      </c>
      <c r="E49" s="8" t="s">
        <v>64</v>
      </c>
      <c r="F49" s="1" t="str">
        <f t="shared" si="0"/>
        <v/>
      </c>
      <c r="G49" s="1" t="str">
        <f>IFERROR(IF(INDEX('[1]RTO Register'!AP$2:AP$698,MATCH($A49,'[1]RTO Register'!$AA$2:$AA$698,0))="Yes","School",""),"")</f>
        <v/>
      </c>
      <c r="H49" s="6">
        <f>INDEX('[1]RTO Register'!K$2:K$698,MATCH($A49,'[1]RTO Register'!$AA$2:$AA$698,0))</f>
        <v>1</v>
      </c>
      <c r="I49" s="6">
        <f>INDEX('[1]RTO Register'!L$2:L$698,MATCH($A49,'[1]RTO Register'!$AA$2:$AA$698,0))</f>
        <v>1</v>
      </c>
      <c r="J49" s="6">
        <f>INDEX('[1]RTO Register'!M$2:M$698,MATCH($A49,'[1]RTO Register'!$AA$2:$AA$698,0))</f>
        <v>1</v>
      </c>
      <c r="K49" s="6">
        <f>INDEX('[1]RTO Register'!N$2:N$698,MATCH($A49,'[1]RTO Register'!$AA$2:$AA$698,0))</f>
        <v>1</v>
      </c>
      <c r="L49" s="6">
        <f>INDEX('[1]RTO Register'!O$2:O$698,MATCH($A49,'[1]RTO Register'!$AA$2:$AA$698,0))</f>
        <v>1</v>
      </c>
      <c r="M49" s="6">
        <f>INDEX('[1]RTO Register'!P$2:P$698,MATCH($A49,'[1]RTO Register'!$AA$2:$AA$698,0))</f>
        <v>1</v>
      </c>
      <c r="N49" s="6">
        <f>INDEX('[1]RTO Register'!Q$2:Q$698,MATCH($A49,'[1]RTO Register'!$AA$2:$AA$698,0))</f>
        <v>1</v>
      </c>
      <c r="O49" s="6">
        <f>INDEX('[1]RTO Register'!R$2:R$698,MATCH($A49,'[1]RTO Register'!$AA$2:$AA$698,0))</f>
        <v>1</v>
      </c>
      <c r="P49" s="6">
        <f>INDEX('[1]RTO Register'!S$2:S$698,MATCH($A49,'[1]RTO Register'!$AA$2:$AA$698,0))</f>
        <v>1</v>
      </c>
      <c r="Q49" s="6">
        <f t="shared" si="1"/>
        <v>1</v>
      </c>
    </row>
    <row r="50" spans="1:17" x14ac:dyDescent="0.25">
      <c r="A50" t="str">
        <v>31160</v>
      </c>
      <c r="B50" t="str">
        <v>Vertical Horizonz Australia Pty Ltd</v>
      </c>
      <c r="C50" t="str">
        <v>N/A</v>
      </c>
      <c r="D50" t="str">
        <f>VLOOKUP(A50,'[1]RTO Register'!AA$2:AH547,8,FALSE)</f>
        <v>4500</v>
      </c>
      <c r="E50" s="8" t="s">
        <v>65</v>
      </c>
      <c r="F50" s="1" t="str">
        <f t="shared" si="0"/>
        <v/>
      </c>
      <c r="G50" s="1" t="str">
        <f>IFERROR(IF(INDEX('[1]RTO Register'!AP$2:AP$698,MATCH($A50,'[1]RTO Register'!$AA$2:$AA$698,0))="Yes","School",""),"")</f>
        <v/>
      </c>
      <c r="H50" s="6">
        <f>INDEX('[1]RTO Register'!K$2:K$698,MATCH($A50,'[1]RTO Register'!$AA$2:$AA$698,0))</f>
        <v>1</v>
      </c>
      <c r="I50" s="6">
        <f>INDEX('[1]RTO Register'!L$2:L$698,MATCH($A50,'[1]RTO Register'!$AA$2:$AA$698,0))</f>
        <v>1</v>
      </c>
      <c r="J50" s="6">
        <f>INDEX('[1]RTO Register'!M$2:M$698,MATCH($A50,'[1]RTO Register'!$AA$2:$AA$698,0))</f>
        <v>1</v>
      </c>
      <c r="K50" s="6">
        <f>INDEX('[1]RTO Register'!N$2:N$698,MATCH($A50,'[1]RTO Register'!$AA$2:$AA$698,0))</f>
        <v>1</v>
      </c>
      <c r="L50" s="6">
        <f>INDEX('[1]RTO Register'!O$2:O$698,MATCH($A50,'[1]RTO Register'!$AA$2:$AA$698,0))</f>
        <v>1</v>
      </c>
      <c r="M50" s="6">
        <f>INDEX('[1]RTO Register'!P$2:P$698,MATCH($A50,'[1]RTO Register'!$AA$2:$AA$698,0))</f>
        <v>1</v>
      </c>
      <c r="N50" s="6">
        <f>INDEX('[1]RTO Register'!Q$2:Q$698,MATCH($A50,'[1]RTO Register'!$AA$2:$AA$698,0))</f>
        <v>1</v>
      </c>
      <c r="O50" s="6">
        <f>INDEX('[1]RTO Register'!R$2:R$698,MATCH($A50,'[1]RTO Register'!$AA$2:$AA$698,0))</f>
        <v>1</v>
      </c>
      <c r="P50" s="6">
        <f>INDEX('[1]RTO Register'!S$2:S$698,MATCH($A50,'[1]RTO Register'!$AA$2:$AA$698,0))</f>
        <v>1</v>
      </c>
      <c r="Q50" s="6">
        <f t="shared" si="1"/>
        <v>1</v>
      </c>
    </row>
    <row r="51" spans="1:17" x14ac:dyDescent="0.25">
      <c r="A51" t="str">
        <v>31167</v>
      </c>
      <c r="B51" t="str">
        <v>Flagstone State Community College</v>
      </c>
      <c r="C51" t="str">
        <v>N/A</v>
      </c>
      <c r="D51" t="str">
        <f>VLOOKUP(A51,'[1]RTO Register'!AA$2:AH548,8,FALSE)</f>
        <v>4280</v>
      </c>
      <c r="E51" s="8" t="s">
        <v>66</v>
      </c>
      <c r="F51" s="1" t="str">
        <f t="shared" si="0"/>
        <v/>
      </c>
      <c r="G51" s="1" t="str">
        <f>IFERROR(IF(INDEX('[1]RTO Register'!AP$2:AP$698,MATCH($A51,'[1]RTO Register'!$AA$2:$AA$698,0))="Yes","School",""),"")</f>
        <v>School</v>
      </c>
      <c r="H51" s="6">
        <f>INDEX('[1]RTO Register'!K$2:K$698,MATCH($A51,'[1]RTO Register'!$AA$2:$AA$698,0))</f>
        <v>1</v>
      </c>
      <c r="I51" s="6">
        <f>INDEX('[1]RTO Register'!L$2:L$698,MATCH($A51,'[1]RTO Register'!$AA$2:$AA$698,0))</f>
        <v>1</v>
      </c>
      <c r="J51" s="6">
        <f>INDEX('[1]RTO Register'!M$2:M$698,MATCH($A51,'[1]RTO Register'!$AA$2:$AA$698,0))</f>
        <v>1</v>
      </c>
      <c r="K51" s="6">
        <f>INDEX('[1]RTO Register'!N$2:N$698,MATCH($A51,'[1]RTO Register'!$AA$2:$AA$698,0))</f>
        <v>1</v>
      </c>
      <c r="L51" s="6">
        <f>INDEX('[1]RTO Register'!O$2:O$698,MATCH($A51,'[1]RTO Register'!$AA$2:$AA$698,0))</f>
        <v>1</v>
      </c>
      <c r="M51" s="6">
        <f>INDEX('[1]RTO Register'!P$2:P$698,MATCH($A51,'[1]RTO Register'!$AA$2:$AA$698,0))</f>
        <v>1</v>
      </c>
      <c r="N51" s="6">
        <f>INDEX('[1]RTO Register'!Q$2:Q$698,MATCH($A51,'[1]RTO Register'!$AA$2:$AA$698,0))</f>
        <v>1</v>
      </c>
      <c r="O51" s="6">
        <f>INDEX('[1]RTO Register'!R$2:R$698,MATCH($A51,'[1]RTO Register'!$AA$2:$AA$698,0))</f>
        <v>1</v>
      </c>
      <c r="P51" s="6">
        <f>INDEX('[1]RTO Register'!S$2:S$698,MATCH($A51,'[1]RTO Register'!$AA$2:$AA$698,0))</f>
        <v>1</v>
      </c>
      <c r="Q51" s="6">
        <f t="shared" si="1"/>
        <v>1</v>
      </c>
    </row>
    <row r="52" spans="1:17" x14ac:dyDescent="0.25">
      <c r="A52" t="str">
        <v>31175</v>
      </c>
      <c r="B52" t="str">
        <v>People and Performance Solutions P/L as Trustee for the P &amp; PS Trust</v>
      </c>
      <c r="C52" t="str">
        <v>Gold Coast Trades College</v>
      </c>
      <c r="D52" t="str">
        <f>VLOOKUP(A52,'[1]RTO Register'!AA$2:AH549,8,FALSE)</f>
        <v>4223</v>
      </c>
      <c r="E52" s="8" t="s">
        <v>67</v>
      </c>
      <c r="F52" s="1" t="str">
        <f t="shared" si="0"/>
        <v/>
      </c>
      <c r="G52" s="1" t="str">
        <f>IFERROR(IF(INDEX('[1]RTO Register'!AP$2:AP$698,MATCH($A52,'[1]RTO Register'!$AA$2:$AA$698,0))="Yes","School",""),"")</f>
        <v/>
      </c>
      <c r="H52" s="6">
        <f>INDEX('[1]RTO Register'!K$2:K$698,MATCH($A52,'[1]RTO Register'!$AA$2:$AA$698,0))</f>
        <v>1</v>
      </c>
      <c r="I52" s="6">
        <f>INDEX('[1]RTO Register'!L$2:L$698,MATCH($A52,'[1]RTO Register'!$AA$2:$AA$698,0))</f>
        <v>1</v>
      </c>
      <c r="J52" s="6">
        <f>INDEX('[1]RTO Register'!M$2:M$698,MATCH($A52,'[1]RTO Register'!$AA$2:$AA$698,0))</f>
        <v>1</v>
      </c>
      <c r="K52" s="6">
        <f>INDEX('[1]RTO Register'!N$2:N$698,MATCH($A52,'[1]RTO Register'!$AA$2:$AA$698,0))</f>
        <v>1</v>
      </c>
      <c r="L52" s="6">
        <f>INDEX('[1]RTO Register'!O$2:O$698,MATCH($A52,'[1]RTO Register'!$AA$2:$AA$698,0))</f>
        <v>1</v>
      </c>
      <c r="M52" s="6">
        <f>INDEX('[1]RTO Register'!P$2:P$698,MATCH($A52,'[1]RTO Register'!$AA$2:$AA$698,0))</f>
        <v>1</v>
      </c>
      <c r="N52" s="6">
        <f>INDEX('[1]RTO Register'!Q$2:Q$698,MATCH($A52,'[1]RTO Register'!$AA$2:$AA$698,0))</f>
        <v>1</v>
      </c>
      <c r="O52" s="6">
        <f>INDEX('[1]RTO Register'!R$2:R$698,MATCH($A52,'[1]RTO Register'!$AA$2:$AA$698,0))</f>
        <v>1</v>
      </c>
      <c r="P52" s="6">
        <f>INDEX('[1]RTO Register'!S$2:S$698,MATCH($A52,'[1]RTO Register'!$AA$2:$AA$698,0))</f>
        <v>1</v>
      </c>
      <c r="Q52" s="6">
        <f t="shared" si="1"/>
        <v>1</v>
      </c>
    </row>
    <row r="53" spans="1:17" x14ac:dyDescent="0.25">
      <c r="A53" t="str">
        <v>31178</v>
      </c>
      <c r="B53" t="str">
        <v>Queensland Training Services Pty Ltd as Trustee for the Queensland Training Services Unit Trust</v>
      </c>
      <c r="C53" t="str">
        <v>Total Management and Training</v>
      </c>
      <c r="D53" t="str">
        <f>VLOOKUP(A53,'[1]RTO Register'!AA$2:AH550,8,FALSE)</f>
        <v>4870</v>
      </c>
      <c r="E53" s="8" t="s">
        <v>68</v>
      </c>
      <c r="F53" s="1" t="str">
        <f t="shared" si="0"/>
        <v/>
      </c>
      <c r="G53" s="1" t="str">
        <f>IFERROR(IF(INDEX('[1]RTO Register'!AP$2:AP$698,MATCH($A53,'[1]RTO Register'!$AA$2:$AA$698,0))="Yes","School",""),"")</f>
        <v/>
      </c>
      <c r="H53" s="6">
        <f>INDEX('[1]RTO Register'!K$2:K$698,MATCH($A53,'[1]RTO Register'!$AA$2:$AA$698,0))</f>
        <v>1</v>
      </c>
      <c r="I53" s="6">
        <f>INDEX('[1]RTO Register'!L$2:L$698,MATCH($A53,'[1]RTO Register'!$AA$2:$AA$698,0))</f>
        <v>1</v>
      </c>
      <c r="J53" s="6">
        <f>INDEX('[1]RTO Register'!M$2:M$698,MATCH($A53,'[1]RTO Register'!$AA$2:$AA$698,0))</f>
        <v>1</v>
      </c>
      <c r="K53" s="6">
        <f>INDEX('[1]RTO Register'!N$2:N$698,MATCH($A53,'[1]RTO Register'!$AA$2:$AA$698,0))</f>
        <v>1</v>
      </c>
      <c r="L53" s="6">
        <f>INDEX('[1]RTO Register'!O$2:O$698,MATCH($A53,'[1]RTO Register'!$AA$2:$AA$698,0))</f>
        <v>1</v>
      </c>
      <c r="M53" s="6">
        <f>INDEX('[1]RTO Register'!P$2:P$698,MATCH($A53,'[1]RTO Register'!$AA$2:$AA$698,0))</f>
        <v>1</v>
      </c>
      <c r="N53" s="6">
        <f>INDEX('[1]RTO Register'!Q$2:Q$698,MATCH($A53,'[1]RTO Register'!$AA$2:$AA$698,0))</f>
        <v>1</v>
      </c>
      <c r="O53" s="6">
        <f>INDEX('[1]RTO Register'!R$2:R$698,MATCH($A53,'[1]RTO Register'!$AA$2:$AA$698,0))</f>
        <v>1</v>
      </c>
      <c r="P53" s="6">
        <f>INDEX('[1]RTO Register'!S$2:S$698,MATCH($A53,'[1]RTO Register'!$AA$2:$AA$698,0))</f>
        <v>1</v>
      </c>
      <c r="Q53" s="6">
        <f t="shared" si="1"/>
        <v>1</v>
      </c>
    </row>
    <row r="54" spans="1:17" x14ac:dyDescent="0.25">
      <c r="A54" t="str">
        <v>31193</v>
      </c>
      <c r="B54" t="str">
        <v>Blue Dog Training Pty Ltd</v>
      </c>
      <c r="C54" t="str">
        <v>N/A</v>
      </c>
      <c r="D54" t="str">
        <f>VLOOKUP(A54,'[1]RTO Register'!AA$2:AH551,8,FALSE)</f>
        <v>4064</v>
      </c>
      <c r="E54" s="8" t="s">
        <v>69</v>
      </c>
      <c r="F54" s="1" t="str">
        <f t="shared" si="0"/>
        <v/>
      </c>
      <c r="G54" s="1" t="str">
        <f>IFERROR(IF(INDEX('[1]RTO Register'!AP$2:AP$698,MATCH($A54,'[1]RTO Register'!$AA$2:$AA$698,0))="Yes","School",""),"")</f>
        <v/>
      </c>
      <c r="H54" s="6">
        <f>INDEX('[1]RTO Register'!K$2:K$698,MATCH($A54,'[1]RTO Register'!$AA$2:$AA$698,0))</f>
        <v>43958</v>
      </c>
      <c r="I54" s="6">
        <f>INDEX('[1]RTO Register'!L$2:L$698,MATCH($A54,'[1]RTO Register'!$AA$2:$AA$698,0))</f>
        <v>1</v>
      </c>
      <c r="J54" s="6">
        <f>INDEX('[1]RTO Register'!M$2:M$698,MATCH($A54,'[1]RTO Register'!$AA$2:$AA$698,0))</f>
        <v>1</v>
      </c>
      <c r="K54" s="6">
        <f>INDEX('[1]RTO Register'!N$2:N$698,MATCH($A54,'[1]RTO Register'!$AA$2:$AA$698,0))</f>
        <v>1</v>
      </c>
      <c r="L54" s="6">
        <f>INDEX('[1]RTO Register'!O$2:O$698,MATCH($A54,'[1]RTO Register'!$AA$2:$AA$698,0))</f>
        <v>43989</v>
      </c>
      <c r="M54" s="6">
        <f>INDEX('[1]RTO Register'!P$2:P$698,MATCH($A54,'[1]RTO Register'!$AA$2:$AA$698,0))</f>
        <v>1</v>
      </c>
      <c r="N54" s="6">
        <f>INDEX('[1]RTO Register'!Q$2:Q$698,MATCH($A54,'[1]RTO Register'!$AA$2:$AA$698,0))</f>
        <v>1</v>
      </c>
      <c r="O54" s="6">
        <f>INDEX('[1]RTO Register'!R$2:R$698,MATCH($A54,'[1]RTO Register'!$AA$2:$AA$698,0))</f>
        <v>1</v>
      </c>
      <c r="P54" s="6">
        <f>INDEX('[1]RTO Register'!S$2:S$698,MATCH($A54,'[1]RTO Register'!$AA$2:$AA$698,0))</f>
        <v>1</v>
      </c>
      <c r="Q54" s="6">
        <f t="shared" si="1"/>
        <v>43989</v>
      </c>
    </row>
    <row r="55" spans="1:17" x14ac:dyDescent="0.25">
      <c r="A55" t="str">
        <v>31198</v>
      </c>
      <c r="B55" t="str">
        <v>Leslie Harry Hunter</v>
      </c>
      <c r="C55" t="str">
        <v>Accredited Skills Provider (ASP)</v>
      </c>
      <c r="D55" t="str">
        <f>VLOOKUP(A55,'[1]RTO Register'!AA$2:AH552,8,FALSE)</f>
        <v>4215</v>
      </c>
      <c r="E55" s="8" t="s">
        <v>70</v>
      </c>
      <c r="F55" s="1" t="str">
        <f t="shared" si="0"/>
        <v/>
      </c>
      <c r="G55" s="1" t="str">
        <f>IFERROR(IF(INDEX('[1]RTO Register'!AP$2:AP$698,MATCH($A55,'[1]RTO Register'!$AA$2:$AA$698,0))="Yes","School",""),"")</f>
        <v/>
      </c>
      <c r="H55" s="6">
        <f>INDEX('[1]RTO Register'!K$2:K$698,MATCH($A55,'[1]RTO Register'!$AA$2:$AA$698,0))</f>
        <v>1</v>
      </c>
      <c r="I55" s="6">
        <f>INDEX('[1]RTO Register'!L$2:L$698,MATCH($A55,'[1]RTO Register'!$AA$2:$AA$698,0))</f>
        <v>1</v>
      </c>
      <c r="J55" s="6">
        <f>INDEX('[1]RTO Register'!M$2:M$698,MATCH($A55,'[1]RTO Register'!$AA$2:$AA$698,0))</f>
        <v>1</v>
      </c>
      <c r="K55" s="6">
        <f>INDEX('[1]RTO Register'!N$2:N$698,MATCH($A55,'[1]RTO Register'!$AA$2:$AA$698,0))</f>
        <v>1</v>
      </c>
      <c r="L55" s="6">
        <f>INDEX('[1]RTO Register'!O$2:O$698,MATCH($A55,'[1]RTO Register'!$AA$2:$AA$698,0))</f>
        <v>1</v>
      </c>
      <c r="M55" s="6">
        <f>INDEX('[1]RTO Register'!P$2:P$698,MATCH($A55,'[1]RTO Register'!$AA$2:$AA$698,0))</f>
        <v>1</v>
      </c>
      <c r="N55" s="6">
        <f>INDEX('[1]RTO Register'!Q$2:Q$698,MATCH($A55,'[1]RTO Register'!$AA$2:$AA$698,0))</f>
        <v>1</v>
      </c>
      <c r="O55" s="6">
        <f>INDEX('[1]RTO Register'!R$2:R$698,MATCH($A55,'[1]RTO Register'!$AA$2:$AA$698,0))</f>
        <v>1</v>
      </c>
      <c r="P55" s="6">
        <f>INDEX('[1]RTO Register'!S$2:S$698,MATCH($A55,'[1]RTO Register'!$AA$2:$AA$698,0))</f>
        <v>1</v>
      </c>
      <c r="Q55" s="6">
        <f t="shared" si="1"/>
        <v>1</v>
      </c>
    </row>
    <row r="56" spans="1:17" x14ac:dyDescent="0.25">
      <c r="A56" t="str">
        <v>31252</v>
      </c>
      <c r="B56" t="str">
        <v>Ballinger Training and Consultancy Pty Ltd</v>
      </c>
      <c r="C56" t="str">
        <v>Ballinger Training and Consultancy</v>
      </c>
      <c r="D56" t="str">
        <f>VLOOKUP(A56,'[1]RTO Register'!AA$2:AH553,8,FALSE)</f>
        <v>4884</v>
      </c>
      <c r="E56" s="8" t="s">
        <v>71</v>
      </c>
      <c r="F56" s="1" t="str">
        <f t="shared" si="0"/>
        <v/>
      </c>
      <c r="G56" s="1" t="str">
        <f>IFERROR(IF(INDEX('[1]RTO Register'!AP$2:AP$698,MATCH($A56,'[1]RTO Register'!$AA$2:$AA$698,0))="Yes","School",""),"")</f>
        <v/>
      </c>
      <c r="H56" s="6">
        <f>INDEX('[1]RTO Register'!K$2:K$698,MATCH($A56,'[1]RTO Register'!$AA$2:$AA$698,0))</f>
        <v>1</v>
      </c>
      <c r="I56" s="6">
        <f>INDEX('[1]RTO Register'!L$2:L$698,MATCH($A56,'[1]RTO Register'!$AA$2:$AA$698,0))</f>
        <v>1</v>
      </c>
      <c r="J56" s="6">
        <f>INDEX('[1]RTO Register'!M$2:M$698,MATCH($A56,'[1]RTO Register'!$AA$2:$AA$698,0))</f>
        <v>1</v>
      </c>
      <c r="K56" s="6">
        <f>INDEX('[1]RTO Register'!N$2:N$698,MATCH($A56,'[1]RTO Register'!$AA$2:$AA$698,0))</f>
        <v>1</v>
      </c>
      <c r="L56" s="6">
        <f>INDEX('[1]RTO Register'!O$2:O$698,MATCH($A56,'[1]RTO Register'!$AA$2:$AA$698,0))</f>
        <v>1</v>
      </c>
      <c r="M56" s="6">
        <f>INDEX('[1]RTO Register'!P$2:P$698,MATCH($A56,'[1]RTO Register'!$AA$2:$AA$698,0))</f>
        <v>1</v>
      </c>
      <c r="N56" s="6">
        <f>INDEX('[1]RTO Register'!Q$2:Q$698,MATCH($A56,'[1]RTO Register'!$AA$2:$AA$698,0))</f>
        <v>1</v>
      </c>
      <c r="O56" s="6">
        <f>INDEX('[1]RTO Register'!R$2:R$698,MATCH($A56,'[1]RTO Register'!$AA$2:$AA$698,0))</f>
        <v>1</v>
      </c>
      <c r="P56" s="6">
        <f>INDEX('[1]RTO Register'!S$2:S$698,MATCH($A56,'[1]RTO Register'!$AA$2:$AA$698,0))</f>
        <v>1</v>
      </c>
      <c r="Q56" s="6">
        <f t="shared" si="1"/>
        <v>1</v>
      </c>
    </row>
    <row r="57" spans="1:17" x14ac:dyDescent="0.25">
      <c r="A57" t="str">
        <v>31279</v>
      </c>
      <c r="B57" t="str">
        <v>Martyr Training Services Pty Ltd</v>
      </c>
      <c r="C57" t="str">
        <v>N/A</v>
      </c>
      <c r="D57" t="str">
        <f>VLOOKUP(A57,'[1]RTO Register'!AA$2:AH554,8,FALSE)</f>
        <v>4825</v>
      </c>
      <c r="E57" s="8" t="s">
        <v>72</v>
      </c>
      <c r="F57" s="1" t="str">
        <f t="shared" si="0"/>
        <v/>
      </c>
      <c r="G57" s="1" t="str">
        <f>IFERROR(IF(INDEX('[1]RTO Register'!AP$2:AP$698,MATCH($A57,'[1]RTO Register'!$AA$2:$AA$698,0))="Yes","School",""),"")</f>
        <v/>
      </c>
      <c r="H57" s="6">
        <f>INDEX('[1]RTO Register'!K$2:K$698,MATCH($A57,'[1]RTO Register'!$AA$2:$AA$698,0))</f>
        <v>1</v>
      </c>
      <c r="I57" s="6">
        <f>INDEX('[1]RTO Register'!L$2:L$698,MATCH($A57,'[1]RTO Register'!$AA$2:$AA$698,0))</f>
        <v>1</v>
      </c>
      <c r="J57" s="6">
        <f>INDEX('[1]RTO Register'!M$2:M$698,MATCH($A57,'[1]RTO Register'!$AA$2:$AA$698,0))</f>
        <v>1</v>
      </c>
      <c r="K57" s="6">
        <f>INDEX('[1]RTO Register'!N$2:N$698,MATCH($A57,'[1]RTO Register'!$AA$2:$AA$698,0))</f>
        <v>1</v>
      </c>
      <c r="L57" s="6">
        <f>INDEX('[1]RTO Register'!O$2:O$698,MATCH($A57,'[1]RTO Register'!$AA$2:$AA$698,0))</f>
        <v>1</v>
      </c>
      <c r="M57" s="6">
        <f>INDEX('[1]RTO Register'!P$2:P$698,MATCH($A57,'[1]RTO Register'!$AA$2:$AA$698,0))</f>
        <v>1</v>
      </c>
      <c r="N57" s="6">
        <f>INDEX('[1]RTO Register'!Q$2:Q$698,MATCH($A57,'[1]RTO Register'!$AA$2:$AA$698,0))</f>
        <v>1</v>
      </c>
      <c r="O57" s="6">
        <f>INDEX('[1]RTO Register'!R$2:R$698,MATCH($A57,'[1]RTO Register'!$AA$2:$AA$698,0))</f>
        <v>1</v>
      </c>
      <c r="P57" s="6">
        <f>INDEX('[1]RTO Register'!S$2:S$698,MATCH($A57,'[1]RTO Register'!$AA$2:$AA$698,0))</f>
        <v>1</v>
      </c>
      <c r="Q57" s="6">
        <f t="shared" si="1"/>
        <v>1</v>
      </c>
    </row>
    <row r="58" spans="1:17" x14ac:dyDescent="0.25">
      <c r="A58" t="str">
        <v>31345</v>
      </c>
      <c r="B58" t="str">
        <v>Challenge National Pty Ltd</v>
      </c>
      <c r="C58" t="str">
        <v>Etrainu</v>
      </c>
      <c r="D58" t="str">
        <f>VLOOKUP(A58,'[1]RTO Register'!AA$2:AH555,8,FALSE)</f>
        <v>4000</v>
      </c>
      <c r="E58" s="8" t="s">
        <v>73</v>
      </c>
      <c r="F58" s="1" t="str">
        <f t="shared" si="0"/>
        <v/>
      </c>
      <c r="G58" s="1" t="str">
        <f>IFERROR(IF(INDEX('[1]RTO Register'!AP$2:AP$698,MATCH($A58,'[1]RTO Register'!$AA$2:$AA$698,0))="Yes","School",""),"")</f>
        <v/>
      </c>
      <c r="H58" s="6">
        <f>INDEX('[1]RTO Register'!K$2:K$698,MATCH($A58,'[1]RTO Register'!$AA$2:$AA$698,0))</f>
        <v>1</v>
      </c>
      <c r="I58" s="6">
        <f>INDEX('[1]RTO Register'!L$2:L$698,MATCH($A58,'[1]RTO Register'!$AA$2:$AA$698,0))</f>
        <v>1</v>
      </c>
      <c r="J58" s="6">
        <f>INDEX('[1]RTO Register'!M$2:M$698,MATCH($A58,'[1]RTO Register'!$AA$2:$AA$698,0))</f>
        <v>1</v>
      </c>
      <c r="K58" s="6">
        <f>INDEX('[1]RTO Register'!N$2:N$698,MATCH($A58,'[1]RTO Register'!$AA$2:$AA$698,0))</f>
        <v>1</v>
      </c>
      <c r="L58" s="6">
        <f>INDEX('[1]RTO Register'!O$2:O$698,MATCH($A58,'[1]RTO Register'!$AA$2:$AA$698,0))</f>
        <v>1</v>
      </c>
      <c r="M58" s="6">
        <f>INDEX('[1]RTO Register'!P$2:P$698,MATCH($A58,'[1]RTO Register'!$AA$2:$AA$698,0))</f>
        <v>1</v>
      </c>
      <c r="N58" s="6">
        <f>INDEX('[1]RTO Register'!Q$2:Q$698,MATCH($A58,'[1]RTO Register'!$AA$2:$AA$698,0))</f>
        <v>1</v>
      </c>
      <c r="O58" s="6">
        <f>INDEX('[1]RTO Register'!R$2:R$698,MATCH($A58,'[1]RTO Register'!$AA$2:$AA$698,0))</f>
        <v>1</v>
      </c>
      <c r="P58" s="6">
        <f>INDEX('[1]RTO Register'!S$2:S$698,MATCH($A58,'[1]RTO Register'!$AA$2:$AA$698,0))</f>
        <v>1</v>
      </c>
      <c r="Q58" s="6">
        <f t="shared" si="1"/>
        <v>1</v>
      </c>
    </row>
    <row r="59" spans="1:17" x14ac:dyDescent="0.25">
      <c r="A59" t="str">
        <v>31352</v>
      </c>
      <c r="B59" t="str">
        <v>Ausintec Academy Pty Ltd</v>
      </c>
      <c r="C59" t="str">
        <v>Ausintec Academy Pty Ltd</v>
      </c>
      <c r="D59" t="str">
        <f>VLOOKUP(A59,'[1]RTO Register'!AA$2:AH556,8,FALSE)</f>
        <v>4510</v>
      </c>
      <c r="E59" s="8" t="s">
        <v>74</v>
      </c>
      <c r="F59" s="1" t="str">
        <f t="shared" si="0"/>
        <v/>
      </c>
      <c r="G59" s="1" t="str">
        <f>IFERROR(IF(INDEX('[1]RTO Register'!AP$2:AP$698,MATCH($A59,'[1]RTO Register'!$AA$2:$AA$698,0))="Yes","School",""),"")</f>
        <v/>
      </c>
      <c r="H59" s="6">
        <f>INDEX('[1]RTO Register'!K$2:K$698,MATCH($A59,'[1]RTO Register'!$AA$2:$AA$698,0))</f>
        <v>1</v>
      </c>
      <c r="I59" s="6">
        <f>INDEX('[1]RTO Register'!L$2:L$698,MATCH($A59,'[1]RTO Register'!$AA$2:$AA$698,0))</f>
        <v>1</v>
      </c>
      <c r="J59" s="6">
        <f>INDEX('[1]RTO Register'!M$2:M$698,MATCH($A59,'[1]RTO Register'!$AA$2:$AA$698,0))</f>
        <v>1</v>
      </c>
      <c r="K59" s="6">
        <f>INDEX('[1]RTO Register'!N$2:N$698,MATCH($A59,'[1]RTO Register'!$AA$2:$AA$698,0))</f>
        <v>1</v>
      </c>
      <c r="L59" s="6">
        <f>INDEX('[1]RTO Register'!O$2:O$698,MATCH($A59,'[1]RTO Register'!$AA$2:$AA$698,0))</f>
        <v>1</v>
      </c>
      <c r="M59" s="6">
        <f>INDEX('[1]RTO Register'!P$2:P$698,MATCH($A59,'[1]RTO Register'!$AA$2:$AA$698,0))</f>
        <v>1</v>
      </c>
      <c r="N59" s="6">
        <f>INDEX('[1]RTO Register'!Q$2:Q$698,MATCH($A59,'[1]RTO Register'!$AA$2:$AA$698,0))</f>
        <v>1</v>
      </c>
      <c r="O59" s="6">
        <f>INDEX('[1]RTO Register'!R$2:R$698,MATCH($A59,'[1]RTO Register'!$AA$2:$AA$698,0))</f>
        <v>1</v>
      </c>
      <c r="P59" s="6">
        <f>INDEX('[1]RTO Register'!S$2:S$698,MATCH($A59,'[1]RTO Register'!$AA$2:$AA$698,0))</f>
        <v>1</v>
      </c>
      <c r="Q59" s="6">
        <f t="shared" si="1"/>
        <v>1</v>
      </c>
    </row>
    <row r="60" spans="1:17" x14ac:dyDescent="0.25">
      <c r="A60" t="str">
        <v>31372</v>
      </c>
      <c r="B60" t="str">
        <v>Masimo Holding Pty Limited</v>
      </c>
      <c r="C60" t="str">
        <v>New Horizons Safety and Training Services</v>
      </c>
      <c r="D60" t="str">
        <f>VLOOKUP(A60,'[1]RTO Register'!AA$2:AH557,8,FALSE)</f>
        <v>4700</v>
      </c>
      <c r="E60" s="8" t="s">
        <v>75</v>
      </c>
      <c r="F60" s="1" t="str">
        <f t="shared" si="0"/>
        <v/>
      </c>
      <c r="G60" s="1" t="str">
        <f>IFERROR(IF(INDEX('[1]RTO Register'!AP$2:AP$698,MATCH($A60,'[1]RTO Register'!$AA$2:$AA$698,0))="Yes","School",""),"")</f>
        <v/>
      </c>
      <c r="H60" s="6">
        <f>INDEX('[1]RTO Register'!K$2:K$698,MATCH($A60,'[1]RTO Register'!$AA$2:$AA$698,0))</f>
        <v>1</v>
      </c>
      <c r="I60" s="6">
        <f>INDEX('[1]RTO Register'!L$2:L$698,MATCH($A60,'[1]RTO Register'!$AA$2:$AA$698,0))</f>
        <v>1</v>
      </c>
      <c r="J60" s="6">
        <f>INDEX('[1]RTO Register'!M$2:M$698,MATCH($A60,'[1]RTO Register'!$AA$2:$AA$698,0))</f>
        <v>1</v>
      </c>
      <c r="K60" s="6">
        <f>INDEX('[1]RTO Register'!N$2:N$698,MATCH($A60,'[1]RTO Register'!$AA$2:$AA$698,0))</f>
        <v>1</v>
      </c>
      <c r="L60" s="6">
        <f>INDEX('[1]RTO Register'!O$2:O$698,MATCH($A60,'[1]RTO Register'!$AA$2:$AA$698,0))</f>
        <v>1</v>
      </c>
      <c r="M60" s="6">
        <f>INDEX('[1]RTO Register'!P$2:P$698,MATCH($A60,'[1]RTO Register'!$AA$2:$AA$698,0))</f>
        <v>1</v>
      </c>
      <c r="N60" s="6">
        <f>INDEX('[1]RTO Register'!Q$2:Q$698,MATCH($A60,'[1]RTO Register'!$AA$2:$AA$698,0))</f>
        <v>1</v>
      </c>
      <c r="O60" s="6">
        <f>INDEX('[1]RTO Register'!R$2:R$698,MATCH($A60,'[1]RTO Register'!$AA$2:$AA$698,0))</f>
        <v>1</v>
      </c>
      <c r="P60" s="6">
        <f>INDEX('[1]RTO Register'!S$2:S$698,MATCH($A60,'[1]RTO Register'!$AA$2:$AA$698,0))</f>
        <v>1</v>
      </c>
      <c r="Q60" s="6">
        <f t="shared" si="1"/>
        <v>1</v>
      </c>
    </row>
    <row r="61" spans="1:17" x14ac:dyDescent="0.25">
      <c r="A61" t="str">
        <v>31385</v>
      </c>
      <c r="B61" t="str">
        <v>Worksafe Connect Pty Ltd</v>
      </c>
      <c r="C61" t="str">
        <v>Worksafe Connect</v>
      </c>
      <c r="D61" t="str">
        <f>VLOOKUP(A61,'[1]RTO Register'!AA$2:AH558,8,FALSE)</f>
        <v>4814</v>
      </c>
      <c r="E61" s="8" t="s">
        <v>76</v>
      </c>
      <c r="F61" s="1" t="str">
        <f t="shared" si="0"/>
        <v/>
      </c>
      <c r="G61" s="1" t="str">
        <f>IFERROR(IF(INDEX('[1]RTO Register'!AP$2:AP$698,MATCH($A61,'[1]RTO Register'!$AA$2:$AA$698,0))="Yes","School",""),"")</f>
        <v/>
      </c>
      <c r="H61" s="6">
        <f>INDEX('[1]RTO Register'!K$2:K$698,MATCH($A61,'[1]RTO Register'!$AA$2:$AA$698,0))</f>
        <v>1</v>
      </c>
      <c r="I61" s="6">
        <f>INDEX('[1]RTO Register'!L$2:L$698,MATCH($A61,'[1]RTO Register'!$AA$2:$AA$698,0))</f>
        <v>1</v>
      </c>
      <c r="J61" s="6">
        <f>INDEX('[1]RTO Register'!M$2:M$698,MATCH($A61,'[1]RTO Register'!$AA$2:$AA$698,0))</f>
        <v>1</v>
      </c>
      <c r="K61" s="6">
        <f>INDEX('[1]RTO Register'!N$2:N$698,MATCH($A61,'[1]RTO Register'!$AA$2:$AA$698,0))</f>
        <v>1</v>
      </c>
      <c r="L61" s="6">
        <f>INDEX('[1]RTO Register'!O$2:O$698,MATCH($A61,'[1]RTO Register'!$AA$2:$AA$698,0))</f>
        <v>1</v>
      </c>
      <c r="M61" s="6">
        <f>INDEX('[1]RTO Register'!P$2:P$698,MATCH($A61,'[1]RTO Register'!$AA$2:$AA$698,0))</f>
        <v>1</v>
      </c>
      <c r="N61" s="6">
        <f>INDEX('[1]RTO Register'!Q$2:Q$698,MATCH($A61,'[1]RTO Register'!$AA$2:$AA$698,0))</f>
        <v>1</v>
      </c>
      <c r="O61" s="6">
        <f>INDEX('[1]RTO Register'!R$2:R$698,MATCH($A61,'[1]RTO Register'!$AA$2:$AA$698,0))</f>
        <v>1</v>
      </c>
      <c r="P61" s="6">
        <f>INDEX('[1]RTO Register'!S$2:S$698,MATCH($A61,'[1]RTO Register'!$AA$2:$AA$698,0))</f>
        <v>1</v>
      </c>
      <c r="Q61" s="6">
        <f t="shared" si="1"/>
        <v>1</v>
      </c>
    </row>
    <row r="62" spans="1:17" x14ac:dyDescent="0.25">
      <c r="A62" t="str">
        <v>31399</v>
      </c>
      <c r="B62" t="str">
        <v>Australian Trade Training College Ltd</v>
      </c>
      <c r="C62" t="str">
        <v>Australian Trade Training College</v>
      </c>
      <c r="D62" t="str">
        <f>VLOOKUP(A62,'[1]RTO Register'!AA$2:AH559,8,FALSE)</f>
        <v>4500</v>
      </c>
      <c r="E62" s="8" t="s">
        <v>77</v>
      </c>
      <c r="F62" s="1" t="str">
        <f t="shared" si="0"/>
        <v/>
      </c>
      <c r="G62" s="1" t="str">
        <f>IFERROR(IF(INDEX('[1]RTO Register'!AP$2:AP$698,MATCH($A62,'[1]RTO Register'!$AA$2:$AA$698,0))="Yes","School",""),"")</f>
        <v/>
      </c>
      <c r="H62" s="6">
        <f>INDEX('[1]RTO Register'!K$2:K$698,MATCH($A62,'[1]RTO Register'!$AA$2:$AA$698,0))</f>
        <v>1</v>
      </c>
      <c r="I62" s="6">
        <f>INDEX('[1]RTO Register'!L$2:L$698,MATCH($A62,'[1]RTO Register'!$AA$2:$AA$698,0))</f>
        <v>1</v>
      </c>
      <c r="J62" s="6">
        <f>INDEX('[1]RTO Register'!M$2:M$698,MATCH($A62,'[1]RTO Register'!$AA$2:$AA$698,0))</f>
        <v>1</v>
      </c>
      <c r="K62" s="6">
        <f>INDEX('[1]RTO Register'!N$2:N$698,MATCH($A62,'[1]RTO Register'!$AA$2:$AA$698,0))</f>
        <v>1</v>
      </c>
      <c r="L62" s="6">
        <f>INDEX('[1]RTO Register'!O$2:O$698,MATCH($A62,'[1]RTO Register'!$AA$2:$AA$698,0))</f>
        <v>1</v>
      </c>
      <c r="M62" s="6">
        <f>INDEX('[1]RTO Register'!P$2:P$698,MATCH($A62,'[1]RTO Register'!$AA$2:$AA$698,0))</f>
        <v>1</v>
      </c>
      <c r="N62" s="6">
        <f>INDEX('[1]RTO Register'!Q$2:Q$698,MATCH($A62,'[1]RTO Register'!$AA$2:$AA$698,0))</f>
        <v>1</v>
      </c>
      <c r="O62" s="6">
        <f>INDEX('[1]RTO Register'!R$2:R$698,MATCH($A62,'[1]RTO Register'!$AA$2:$AA$698,0))</f>
        <v>1</v>
      </c>
      <c r="P62" s="6">
        <f>INDEX('[1]RTO Register'!S$2:S$698,MATCH($A62,'[1]RTO Register'!$AA$2:$AA$698,0))</f>
        <v>1</v>
      </c>
      <c r="Q62" s="6">
        <f t="shared" si="1"/>
        <v>1</v>
      </c>
    </row>
    <row r="63" spans="1:17" x14ac:dyDescent="0.25">
      <c r="A63" t="str">
        <v>31425</v>
      </c>
      <c r="B63" t="str">
        <v>Greenstone Safety Training Pty Ltd as Trustee for the Pene Family Trust</v>
      </c>
      <c r="C63" t="str">
        <v>Greenstone Safety Training</v>
      </c>
      <c r="D63" t="str">
        <f>VLOOKUP(A63,'[1]RTO Register'!AA$2:AH560,8,FALSE)</f>
        <v>4178</v>
      </c>
      <c r="E63" s="8" t="s">
        <v>78</v>
      </c>
      <c r="F63" s="1" t="str">
        <f t="shared" si="0"/>
        <v/>
      </c>
      <c r="G63" s="1" t="str">
        <f>IFERROR(IF(INDEX('[1]RTO Register'!AP$2:AP$698,MATCH($A63,'[1]RTO Register'!$AA$2:$AA$698,0))="Yes","School",""),"")</f>
        <v/>
      </c>
      <c r="H63" s="6">
        <f>INDEX('[1]RTO Register'!K$2:K$698,MATCH($A63,'[1]RTO Register'!$AA$2:$AA$698,0))</f>
        <v>1</v>
      </c>
      <c r="I63" s="6">
        <f>INDEX('[1]RTO Register'!L$2:L$698,MATCH($A63,'[1]RTO Register'!$AA$2:$AA$698,0))</f>
        <v>1</v>
      </c>
      <c r="J63" s="6">
        <f>INDEX('[1]RTO Register'!M$2:M$698,MATCH($A63,'[1]RTO Register'!$AA$2:$AA$698,0))</f>
        <v>1</v>
      </c>
      <c r="K63" s="6">
        <f>INDEX('[1]RTO Register'!N$2:N$698,MATCH($A63,'[1]RTO Register'!$AA$2:$AA$698,0))</f>
        <v>1</v>
      </c>
      <c r="L63" s="6">
        <f>INDEX('[1]RTO Register'!O$2:O$698,MATCH($A63,'[1]RTO Register'!$AA$2:$AA$698,0))</f>
        <v>1</v>
      </c>
      <c r="M63" s="6">
        <f>INDEX('[1]RTO Register'!P$2:P$698,MATCH($A63,'[1]RTO Register'!$AA$2:$AA$698,0))</f>
        <v>1</v>
      </c>
      <c r="N63" s="6">
        <f>INDEX('[1]RTO Register'!Q$2:Q$698,MATCH($A63,'[1]RTO Register'!$AA$2:$AA$698,0))</f>
        <v>1</v>
      </c>
      <c r="O63" s="6">
        <f>INDEX('[1]RTO Register'!R$2:R$698,MATCH($A63,'[1]RTO Register'!$AA$2:$AA$698,0))</f>
        <v>1</v>
      </c>
      <c r="P63" s="6">
        <f>INDEX('[1]RTO Register'!S$2:S$698,MATCH($A63,'[1]RTO Register'!$AA$2:$AA$698,0))</f>
        <v>1</v>
      </c>
      <c r="Q63" s="6">
        <f t="shared" si="1"/>
        <v>1</v>
      </c>
    </row>
    <row r="64" spans="1:17" x14ac:dyDescent="0.25">
      <c r="A64" t="str">
        <v>31444</v>
      </c>
      <c r="B64" t="str">
        <v>TEC-NQ Limited</v>
      </c>
      <c r="C64" t="str">
        <v>TEC-NQ</v>
      </c>
      <c r="D64" t="str">
        <f>VLOOKUP(A64,'[1]RTO Register'!AA$2:AH561,8,FALSE)</f>
        <v>4814</v>
      </c>
      <c r="E64" s="8" t="s">
        <v>79</v>
      </c>
      <c r="F64" s="1" t="str">
        <f t="shared" si="0"/>
        <v/>
      </c>
      <c r="G64" s="1" t="str">
        <f>IFERROR(IF(INDEX('[1]RTO Register'!AP$2:AP$698,MATCH($A64,'[1]RTO Register'!$AA$2:$AA$698,0))="Yes","School",""),"")</f>
        <v/>
      </c>
      <c r="H64" s="6">
        <f>INDEX('[1]RTO Register'!K$2:K$698,MATCH($A64,'[1]RTO Register'!$AA$2:$AA$698,0))</f>
        <v>1</v>
      </c>
      <c r="I64" s="6">
        <f>INDEX('[1]RTO Register'!L$2:L$698,MATCH($A64,'[1]RTO Register'!$AA$2:$AA$698,0))</f>
        <v>1</v>
      </c>
      <c r="J64" s="6">
        <f>INDEX('[1]RTO Register'!M$2:M$698,MATCH($A64,'[1]RTO Register'!$AA$2:$AA$698,0))</f>
        <v>1</v>
      </c>
      <c r="K64" s="6">
        <f>INDEX('[1]RTO Register'!N$2:N$698,MATCH($A64,'[1]RTO Register'!$AA$2:$AA$698,0))</f>
        <v>1</v>
      </c>
      <c r="L64" s="6">
        <f>INDEX('[1]RTO Register'!O$2:O$698,MATCH($A64,'[1]RTO Register'!$AA$2:$AA$698,0))</f>
        <v>1</v>
      </c>
      <c r="M64" s="6">
        <f>INDEX('[1]RTO Register'!P$2:P$698,MATCH($A64,'[1]RTO Register'!$AA$2:$AA$698,0))</f>
        <v>1</v>
      </c>
      <c r="N64" s="6">
        <f>INDEX('[1]RTO Register'!Q$2:Q$698,MATCH($A64,'[1]RTO Register'!$AA$2:$AA$698,0))</f>
        <v>1</v>
      </c>
      <c r="O64" s="6">
        <f>INDEX('[1]RTO Register'!R$2:R$698,MATCH($A64,'[1]RTO Register'!$AA$2:$AA$698,0))</f>
        <v>1</v>
      </c>
      <c r="P64" s="6">
        <f>INDEX('[1]RTO Register'!S$2:S$698,MATCH($A64,'[1]RTO Register'!$AA$2:$AA$698,0))</f>
        <v>1</v>
      </c>
      <c r="Q64" s="6">
        <f t="shared" si="1"/>
        <v>1</v>
      </c>
    </row>
    <row r="65" spans="1:17" x14ac:dyDescent="0.25">
      <c r="A65" t="str">
        <v>31472</v>
      </c>
      <c r="B65" t="str">
        <v>K J Pitt &amp; Associates Pty Ltd</v>
      </c>
      <c r="C65" t="str">
        <v>Australian Safety &amp; Training Alliance</v>
      </c>
      <c r="D65" t="str">
        <f>VLOOKUP(A65,'[1]RTO Register'!AA$2:AH562,8,FALSE)</f>
        <v>4670</v>
      </c>
      <c r="E65" s="8" t="s">
        <v>80</v>
      </c>
      <c r="F65" s="1" t="str">
        <f t="shared" si="0"/>
        <v/>
      </c>
      <c r="G65" s="1" t="str">
        <f>IFERROR(IF(INDEX('[1]RTO Register'!AP$2:AP$698,MATCH($A65,'[1]RTO Register'!$AA$2:$AA$698,0))="Yes","School",""),"")</f>
        <v/>
      </c>
      <c r="H65" s="6">
        <f>INDEX('[1]RTO Register'!K$2:K$698,MATCH($A65,'[1]RTO Register'!$AA$2:$AA$698,0))</f>
        <v>1</v>
      </c>
      <c r="I65" s="6">
        <f>INDEX('[1]RTO Register'!L$2:L$698,MATCH($A65,'[1]RTO Register'!$AA$2:$AA$698,0))</f>
        <v>1</v>
      </c>
      <c r="J65" s="6">
        <f>INDEX('[1]RTO Register'!M$2:M$698,MATCH($A65,'[1]RTO Register'!$AA$2:$AA$698,0))</f>
        <v>1</v>
      </c>
      <c r="K65" s="6">
        <f>INDEX('[1]RTO Register'!N$2:N$698,MATCH($A65,'[1]RTO Register'!$AA$2:$AA$698,0))</f>
        <v>1</v>
      </c>
      <c r="L65" s="6">
        <f>INDEX('[1]RTO Register'!O$2:O$698,MATCH($A65,'[1]RTO Register'!$AA$2:$AA$698,0))</f>
        <v>1</v>
      </c>
      <c r="M65" s="6">
        <f>INDEX('[1]RTO Register'!P$2:P$698,MATCH($A65,'[1]RTO Register'!$AA$2:$AA$698,0))</f>
        <v>1</v>
      </c>
      <c r="N65" s="6">
        <f>INDEX('[1]RTO Register'!Q$2:Q$698,MATCH($A65,'[1]RTO Register'!$AA$2:$AA$698,0))</f>
        <v>1</v>
      </c>
      <c r="O65" s="6">
        <f>INDEX('[1]RTO Register'!R$2:R$698,MATCH($A65,'[1]RTO Register'!$AA$2:$AA$698,0))</f>
        <v>1</v>
      </c>
      <c r="P65" s="6">
        <f>INDEX('[1]RTO Register'!S$2:S$698,MATCH($A65,'[1]RTO Register'!$AA$2:$AA$698,0))</f>
        <v>1</v>
      </c>
      <c r="Q65" s="6">
        <f t="shared" si="1"/>
        <v>1</v>
      </c>
    </row>
    <row r="66" spans="1:17" x14ac:dyDescent="0.25">
      <c r="A66" t="str">
        <v>31494</v>
      </c>
      <c r="B66" t="str">
        <v>Jenmic Pty Ltd as Trustee for the MacNellie Family Trust</v>
      </c>
      <c r="C66" t="str">
        <v>MacNellie's Workplace Safety</v>
      </c>
      <c r="D66" t="str">
        <f>VLOOKUP(A66,'[1]RTO Register'!AA$2:AH563,8,FALSE)</f>
        <v>4405</v>
      </c>
      <c r="E66" s="8" t="s">
        <v>81</v>
      </c>
      <c r="F66" s="1" t="str">
        <f t="shared" si="0"/>
        <v/>
      </c>
      <c r="G66" s="1" t="str">
        <f>IFERROR(IF(INDEX('[1]RTO Register'!AP$2:AP$698,MATCH($A66,'[1]RTO Register'!$AA$2:$AA$698,0))="Yes","School",""),"")</f>
        <v/>
      </c>
      <c r="H66" s="6">
        <f>INDEX('[1]RTO Register'!K$2:K$698,MATCH($A66,'[1]RTO Register'!$AA$2:$AA$698,0))</f>
        <v>1</v>
      </c>
      <c r="I66" s="6">
        <f>INDEX('[1]RTO Register'!L$2:L$698,MATCH($A66,'[1]RTO Register'!$AA$2:$AA$698,0))</f>
        <v>1</v>
      </c>
      <c r="J66" s="6">
        <f>INDEX('[1]RTO Register'!M$2:M$698,MATCH($A66,'[1]RTO Register'!$AA$2:$AA$698,0))</f>
        <v>1</v>
      </c>
      <c r="K66" s="6">
        <f>INDEX('[1]RTO Register'!N$2:N$698,MATCH($A66,'[1]RTO Register'!$AA$2:$AA$698,0))</f>
        <v>1</v>
      </c>
      <c r="L66" s="6">
        <f>INDEX('[1]RTO Register'!O$2:O$698,MATCH($A66,'[1]RTO Register'!$AA$2:$AA$698,0))</f>
        <v>1</v>
      </c>
      <c r="M66" s="6">
        <f>INDEX('[1]RTO Register'!P$2:P$698,MATCH($A66,'[1]RTO Register'!$AA$2:$AA$698,0))</f>
        <v>1</v>
      </c>
      <c r="N66" s="6">
        <f>INDEX('[1]RTO Register'!Q$2:Q$698,MATCH($A66,'[1]RTO Register'!$AA$2:$AA$698,0))</f>
        <v>1</v>
      </c>
      <c r="O66" s="6">
        <f>INDEX('[1]RTO Register'!R$2:R$698,MATCH($A66,'[1]RTO Register'!$AA$2:$AA$698,0))</f>
        <v>1</v>
      </c>
      <c r="P66" s="6">
        <f>INDEX('[1]RTO Register'!S$2:S$698,MATCH($A66,'[1]RTO Register'!$AA$2:$AA$698,0))</f>
        <v>1</v>
      </c>
      <c r="Q66" s="6">
        <f t="shared" si="1"/>
        <v>1</v>
      </c>
    </row>
    <row r="67" spans="1:17" x14ac:dyDescent="0.25">
      <c r="A67" t="str">
        <v>31522</v>
      </c>
      <c r="B67" t="str">
        <v>Driveway Training Pty Ltd</v>
      </c>
      <c r="C67" t="str">
        <v>Driveway Training</v>
      </c>
      <c r="D67" t="str">
        <f>VLOOKUP(A67,'[1]RTO Register'!AA$2:AH564,8,FALSE)</f>
        <v>4814</v>
      </c>
      <c r="E67" s="8" t="s">
        <v>82</v>
      </c>
      <c r="F67" s="1" t="str">
        <f t="shared" si="0"/>
        <v/>
      </c>
      <c r="G67" s="1" t="str">
        <f>IFERROR(IF(INDEX('[1]RTO Register'!AP$2:AP$698,MATCH($A67,'[1]RTO Register'!$AA$2:$AA$698,0))="Yes","School",""),"")</f>
        <v/>
      </c>
      <c r="H67" s="6">
        <f>INDEX('[1]RTO Register'!K$2:K$698,MATCH($A67,'[1]RTO Register'!$AA$2:$AA$698,0))</f>
        <v>1</v>
      </c>
      <c r="I67" s="6">
        <f>INDEX('[1]RTO Register'!L$2:L$698,MATCH($A67,'[1]RTO Register'!$AA$2:$AA$698,0))</f>
        <v>1</v>
      </c>
      <c r="J67" s="6">
        <f>INDEX('[1]RTO Register'!M$2:M$698,MATCH($A67,'[1]RTO Register'!$AA$2:$AA$698,0))</f>
        <v>1</v>
      </c>
      <c r="K67" s="6">
        <f>INDEX('[1]RTO Register'!N$2:N$698,MATCH($A67,'[1]RTO Register'!$AA$2:$AA$698,0))</f>
        <v>1</v>
      </c>
      <c r="L67" s="6">
        <f>INDEX('[1]RTO Register'!O$2:O$698,MATCH($A67,'[1]RTO Register'!$AA$2:$AA$698,0))</f>
        <v>1</v>
      </c>
      <c r="M67" s="6">
        <f>INDEX('[1]RTO Register'!P$2:P$698,MATCH($A67,'[1]RTO Register'!$AA$2:$AA$698,0))</f>
        <v>1</v>
      </c>
      <c r="N67" s="6">
        <f>INDEX('[1]RTO Register'!Q$2:Q$698,MATCH($A67,'[1]RTO Register'!$AA$2:$AA$698,0))</f>
        <v>1</v>
      </c>
      <c r="O67" s="6">
        <f>INDEX('[1]RTO Register'!R$2:R$698,MATCH($A67,'[1]RTO Register'!$AA$2:$AA$698,0))</f>
        <v>1</v>
      </c>
      <c r="P67" s="6">
        <f>INDEX('[1]RTO Register'!S$2:S$698,MATCH($A67,'[1]RTO Register'!$AA$2:$AA$698,0))</f>
        <v>1</v>
      </c>
      <c r="Q67" s="6">
        <f t="shared" si="1"/>
        <v>1</v>
      </c>
    </row>
    <row r="68" spans="1:17" x14ac:dyDescent="0.25">
      <c r="A68" t="str">
        <v>31541</v>
      </c>
      <c r="B68" t="str">
        <v>Monand Pty Ltd as Trustee for the Maunder Family Trust</v>
      </c>
      <c r="C68" t="str">
        <v>Safety Management Solutions</v>
      </c>
      <c r="D68" t="str">
        <f>VLOOKUP(A68,'[1]RTO Register'!AA$2:AH565,8,FALSE)</f>
        <v>4868</v>
      </c>
      <c r="E68" s="8" t="s">
        <v>83</v>
      </c>
      <c r="F68" s="1" t="str">
        <f t="shared" ref="F68:F131" si="2">IFERROR(IF(R68=$L$2,"CRTD approved",""),"")</f>
        <v/>
      </c>
      <c r="G68" s="1" t="str">
        <f>IFERROR(IF(INDEX('[1]RTO Register'!AP$2:AP$698,MATCH($A68,'[1]RTO Register'!$AA$2:$AA$698,0))="Yes","School",""),"")</f>
        <v/>
      </c>
      <c r="H68" s="6">
        <f>INDEX('[1]RTO Register'!K$2:K$698,MATCH($A68,'[1]RTO Register'!$AA$2:$AA$698,0))</f>
        <v>1</v>
      </c>
      <c r="I68" s="6">
        <f>INDEX('[1]RTO Register'!L$2:L$698,MATCH($A68,'[1]RTO Register'!$AA$2:$AA$698,0))</f>
        <v>1</v>
      </c>
      <c r="J68" s="6">
        <f>INDEX('[1]RTO Register'!M$2:M$698,MATCH($A68,'[1]RTO Register'!$AA$2:$AA$698,0))</f>
        <v>1</v>
      </c>
      <c r="K68" s="6">
        <f>INDEX('[1]RTO Register'!N$2:N$698,MATCH($A68,'[1]RTO Register'!$AA$2:$AA$698,0))</f>
        <v>1</v>
      </c>
      <c r="L68" s="6">
        <f>INDEX('[1]RTO Register'!O$2:O$698,MATCH($A68,'[1]RTO Register'!$AA$2:$AA$698,0))</f>
        <v>1</v>
      </c>
      <c r="M68" s="6">
        <f>INDEX('[1]RTO Register'!P$2:P$698,MATCH($A68,'[1]RTO Register'!$AA$2:$AA$698,0))</f>
        <v>1</v>
      </c>
      <c r="N68" s="6">
        <f>INDEX('[1]RTO Register'!Q$2:Q$698,MATCH($A68,'[1]RTO Register'!$AA$2:$AA$698,0))</f>
        <v>1</v>
      </c>
      <c r="O68" s="6">
        <f>INDEX('[1]RTO Register'!R$2:R$698,MATCH($A68,'[1]RTO Register'!$AA$2:$AA$698,0))</f>
        <v>1</v>
      </c>
      <c r="P68" s="6">
        <f>INDEX('[1]RTO Register'!S$2:S$698,MATCH($A68,'[1]RTO Register'!$AA$2:$AA$698,0))</f>
        <v>1</v>
      </c>
      <c r="Q68" s="6">
        <f t="shared" ref="Q68:Q131" si="3">MAX(H68:P68)</f>
        <v>1</v>
      </c>
    </row>
    <row r="69" spans="1:17" x14ac:dyDescent="0.25">
      <c r="A69" t="str">
        <v>31544</v>
      </c>
      <c r="B69" t="str">
        <v>Astra Group Services Pty Ltd</v>
      </c>
      <c r="C69" t="str">
        <v>N/A</v>
      </c>
      <c r="D69" t="str">
        <f>VLOOKUP(A69,'[1]RTO Register'!AA$2:AH566,8,FALSE)</f>
        <v>4500</v>
      </c>
      <c r="E69" s="8" t="s">
        <v>84</v>
      </c>
      <c r="F69" s="1" t="str">
        <f t="shared" si="2"/>
        <v/>
      </c>
      <c r="G69" s="1" t="str">
        <f>IFERROR(IF(INDEX('[1]RTO Register'!AP$2:AP$698,MATCH($A69,'[1]RTO Register'!$AA$2:$AA$698,0))="Yes","School",""),"")</f>
        <v/>
      </c>
      <c r="H69" s="6">
        <f>INDEX('[1]RTO Register'!K$2:K$698,MATCH($A69,'[1]RTO Register'!$AA$2:$AA$698,0))</f>
        <v>1</v>
      </c>
      <c r="I69" s="6">
        <f>INDEX('[1]RTO Register'!L$2:L$698,MATCH($A69,'[1]RTO Register'!$AA$2:$AA$698,0))</f>
        <v>1</v>
      </c>
      <c r="J69" s="6">
        <f>INDEX('[1]RTO Register'!M$2:M$698,MATCH($A69,'[1]RTO Register'!$AA$2:$AA$698,0))</f>
        <v>1</v>
      </c>
      <c r="K69" s="6">
        <f>INDEX('[1]RTO Register'!N$2:N$698,MATCH($A69,'[1]RTO Register'!$AA$2:$AA$698,0))</f>
        <v>1</v>
      </c>
      <c r="L69" s="6">
        <f>INDEX('[1]RTO Register'!O$2:O$698,MATCH($A69,'[1]RTO Register'!$AA$2:$AA$698,0))</f>
        <v>1</v>
      </c>
      <c r="M69" s="6">
        <f>INDEX('[1]RTO Register'!P$2:P$698,MATCH($A69,'[1]RTO Register'!$AA$2:$AA$698,0))</f>
        <v>1</v>
      </c>
      <c r="N69" s="6">
        <f>INDEX('[1]RTO Register'!Q$2:Q$698,MATCH($A69,'[1]RTO Register'!$AA$2:$AA$698,0))</f>
        <v>1</v>
      </c>
      <c r="O69" s="6">
        <f>INDEX('[1]RTO Register'!R$2:R$698,MATCH($A69,'[1]RTO Register'!$AA$2:$AA$698,0))</f>
        <v>1</v>
      </c>
      <c r="P69" s="6">
        <f>INDEX('[1]RTO Register'!S$2:S$698,MATCH($A69,'[1]RTO Register'!$AA$2:$AA$698,0))</f>
        <v>1</v>
      </c>
      <c r="Q69" s="6">
        <f t="shared" si="3"/>
        <v>1</v>
      </c>
    </row>
    <row r="70" spans="1:17" x14ac:dyDescent="0.25">
      <c r="A70" t="str">
        <v>31588</v>
      </c>
      <c r="B70" t="str">
        <v>Neil Irvine Management Pty Ltd as Trustee for The Irvine Family Trust</v>
      </c>
      <c r="C70" t="str">
        <v>APS Training Group</v>
      </c>
      <c r="D70" t="str">
        <f>VLOOKUP(A70,'[1]RTO Register'!AA$2:AH567,8,FALSE)</f>
        <v>4670</v>
      </c>
      <c r="E70" s="8" t="s">
        <v>85</v>
      </c>
      <c r="F70" s="1" t="str">
        <f t="shared" si="2"/>
        <v/>
      </c>
      <c r="G70" s="1" t="str">
        <f>IFERROR(IF(INDEX('[1]RTO Register'!AP$2:AP$698,MATCH($A70,'[1]RTO Register'!$AA$2:$AA$698,0))="Yes","School",""),"")</f>
        <v/>
      </c>
      <c r="H70" s="6">
        <f>INDEX('[1]RTO Register'!K$2:K$698,MATCH($A70,'[1]RTO Register'!$AA$2:$AA$698,0))</f>
        <v>1</v>
      </c>
      <c r="I70" s="6">
        <f>INDEX('[1]RTO Register'!L$2:L$698,MATCH($A70,'[1]RTO Register'!$AA$2:$AA$698,0))</f>
        <v>1</v>
      </c>
      <c r="J70" s="6">
        <f>INDEX('[1]RTO Register'!M$2:M$698,MATCH($A70,'[1]RTO Register'!$AA$2:$AA$698,0))</f>
        <v>1</v>
      </c>
      <c r="K70" s="6">
        <f>INDEX('[1]RTO Register'!N$2:N$698,MATCH($A70,'[1]RTO Register'!$AA$2:$AA$698,0))</f>
        <v>1</v>
      </c>
      <c r="L70" s="6">
        <f>INDEX('[1]RTO Register'!O$2:O$698,MATCH($A70,'[1]RTO Register'!$AA$2:$AA$698,0))</f>
        <v>1</v>
      </c>
      <c r="M70" s="6">
        <f>INDEX('[1]RTO Register'!P$2:P$698,MATCH($A70,'[1]RTO Register'!$AA$2:$AA$698,0))</f>
        <v>1</v>
      </c>
      <c r="N70" s="6">
        <f>INDEX('[1]RTO Register'!Q$2:Q$698,MATCH($A70,'[1]RTO Register'!$AA$2:$AA$698,0))</f>
        <v>1</v>
      </c>
      <c r="O70" s="6">
        <f>INDEX('[1]RTO Register'!R$2:R$698,MATCH($A70,'[1]RTO Register'!$AA$2:$AA$698,0))</f>
        <v>1</v>
      </c>
      <c r="P70" s="6">
        <f>INDEX('[1]RTO Register'!S$2:S$698,MATCH($A70,'[1]RTO Register'!$AA$2:$AA$698,0))</f>
        <v>1</v>
      </c>
      <c r="Q70" s="6">
        <f t="shared" si="3"/>
        <v>1</v>
      </c>
    </row>
    <row r="71" spans="1:17" x14ac:dyDescent="0.25">
      <c r="A71" t="str">
        <v>31589</v>
      </c>
      <c r="B71" t="str">
        <v>AB Quality Homes Pty Ltd</v>
      </c>
      <c r="C71" t="str">
        <v>Diggerman Training</v>
      </c>
      <c r="D71" t="str">
        <f>VLOOKUP(A71,'[1]RTO Register'!AA$2:AH568,8,FALSE)</f>
        <v>4573</v>
      </c>
      <c r="E71" s="8" t="s">
        <v>86</v>
      </c>
      <c r="F71" s="1" t="str">
        <f t="shared" si="2"/>
        <v/>
      </c>
      <c r="G71" s="1" t="str">
        <f>IFERROR(IF(INDEX('[1]RTO Register'!AP$2:AP$698,MATCH($A71,'[1]RTO Register'!$AA$2:$AA$698,0))="Yes","School",""),"")</f>
        <v/>
      </c>
      <c r="H71" s="6">
        <f>INDEX('[1]RTO Register'!K$2:K$698,MATCH($A71,'[1]RTO Register'!$AA$2:$AA$698,0))</f>
        <v>1</v>
      </c>
      <c r="I71" s="6">
        <f>INDEX('[1]RTO Register'!L$2:L$698,MATCH($A71,'[1]RTO Register'!$AA$2:$AA$698,0))</f>
        <v>1</v>
      </c>
      <c r="J71" s="6">
        <f>INDEX('[1]RTO Register'!M$2:M$698,MATCH($A71,'[1]RTO Register'!$AA$2:$AA$698,0))</f>
        <v>1</v>
      </c>
      <c r="K71" s="6">
        <f>INDEX('[1]RTO Register'!N$2:N$698,MATCH($A71,'[1]RTO Register'!$AA$2:$AA$698,0))</f>
        <v>1</v>
      </c>
      <c r="L71" s="6">
        <f>INDEX('[1]RTO Register'!O$2:O$698,MATCH($A71,'[1]RTO Register'!$AA$2:$AA$698,0))</f>
        <v>1</v>
      </c>
      <c r="M71" s="6">
        <f>INDEX('[1]RTO Register'!P$2:P$698,MATCH($A71,'[1]RTO Register'!$AA$2:$AA$698,0))</f>
        <v>1</v>
      </c>
      <c r="N71" s="6">
        <f>INDEX('[1]RTO Register'!Q$2:Q$698,MATCH($A71,'[1]RTO Register'!$AA$2:$AA$698,0))</f>
        <v>1</v>
      </c>
      <c r="O71" s="6">
        <f>INDEX('[1]RTO Register'!R$2:R$698,MATCH($A71,'[1]RTO Register'!$AA$2:$AA$698,0))</f>
        <v>1</v>
      </c>
      <c r="P71" s="6">
        <f>INDEX('[1]RTO Register'!S$2:S$698,MATCH($A71,'[1]RTO Register'!$AA$2:$AA$698,0))</f>
        <v>1</v>
      </c>
      <c r="Q71" s="6">
        <f t="shared" si="3"/>
        <v>1</v>
      </c>
    </row>
    <row r="72" spans="1:17" x14ac:dyDescent="0.25">
      <c r="A72" t="str">
        <v>31634</v>
      </c>
      <c r="B72" t="str">
        <v>Crumps International Pty Ltd</v>
      </c>
      <c r="C72" t="str">
        <v>English In Paradise</v>
      </c>
      <c r="D72" t="str">
        <f>VLOOKUP(A72,'[1]RTO Register'!AA$2:AH569,8,FALSE)</f>
        <v>4217</v>
      </c>
      <c r="E72" s="8" t="s">
        <v>87</v>
      </c>
      <c r="F72" s="1" t="str">
        <f t="shared" si="2"/>
        <v/>
      </c>
      <c r="G72" s="1" t="str">
        <f>IFERROR(IF(INDEX('[1]RTO Register'!AP$2:AP$698,MATCH($A72,'[1]RTO Register'!$AA$2:$AA$698,0))="Yes","School",""),"")</f>
        <v/>
      </c>
      <c r="H72" s="6">
        <f>INDEX('[1]RTO Register'!K$2:K$698,MATCH($A72,'[1]RTO Register'!$AA$2:$AA$698,0))</f>
        <v>1</v>
      </c>
      <c r="I72" s="6">
        <f>INDEX('[1]RTO Register'!L$2:L$698,MATCH($A72,'[1]RTO Register'!$AA$2:$AA$698,0))</f>
        <v>1</v>
      </c>
      <c r="J72" s="6">
        <f>INDEX('[1]RTO Register'!M$2:M$698,MATCH($A72,'[1]RTO Register'!$AA$2:$AA$698,0))</f>
        <v>1</v>
      </c>
      <c r="K72" s="6">
        <f>INDEX('[1]RTO Register'!N$2:N$698,MATCH($A72,'[1]RTO Register'!$AA$2:$AA$698,0))</f>
        <v>1</v>
      </c>
      <c r="L72" s="6">
        <f>INDEX('[1]RTO Register'!O$2:O$698,MATCH($A72,'[1]RTO Register'!$AA$2:$AA$698,0))</f>
        <v>1</v>
      </c>
      <c r="M72" s="6">
        <f>INDEX('[1]RTO Register'!P$2:P$698,MATCH($A72,'[1]RTO Register'!$AA$2:$AA$698,0))</f>
        <v>1</v>
      </c>
      <c r="N72" s="6">
        <f>INDEX('[1]RTO Register'!Q$2:Q$698,MATCH($A72,'[1]RTO Register'!$AA$2:$AA$698,0))</f>
        <v>1</v>
      </c>
      <c r="O72" s="6">
        <f>INDEX('[1]RTO Register'!R$2:R$698,MATCH($A72,'[1]RTO Register'!$AA$2:$AA$698,0))</f>
        <v>1</v>
      </c>
      <c r="P72" s="6">
        <f>INDEX('[1]RTO Register'!S$2:S$698,MATCH($A72,'[1]RTO Register'!$AA$2:$AA$698,0))</f>
        <v>1</v>
      </c>
      <c r="Q72" s="6">
        <f t="shared" si="3"/>
        <v>1</v>
      </c>
    </row>
    <row r="73" spans="1:17" x14ac:dyDescent="0.25">
      <c r="A73" t="str">
        <v>31664</v>
      </c>
      <c r="B73" t="str">
        <v>Dickens Assessment and Training Services Pty Ltd</v>
      </c>
      <c r="C73" t="str">
        <v>Dickens Assessment and Training Services</v>
      </c>
      <c r="D73" t="str">
        <f>VLOOKUP(A73,'[1]RTO Register'!AA$2:AH570,8,FALSE)</f>
        <v>2450</v>
      </c>
      <c r="E73" s="8" t="s">
        <v>88</v>
      </c>
      <c r="F73" s="1" t="str">
        <f t="shared" si="2"/>
        <v/>
      </c>
      <c r="G73" s="1" t="str">
        <f>IFERROR(IF(INDEX('[1]RTO Register'!AP$2:AP$698,MATCH($A73,'[1]RTO Register'!$AA$2:$AA$698,0))="Yes","School",""),"")</f>
        <v/>
      </c>
      <c r="H73" s="6">
        <f>INDEX('[1]RTO Register'!K$2:K$698,MATCH($A73,'[1]RTO Register'!$AA$2:$AA$698,0))</f>
        <v>1</v>
      </c>
      <c r="I73" s="6">
        <f>INDEX('[1]RTO Register'!L$2:L$698,MATCH($A73,'[1]RTO Register'!$AA$2:$AA$698,0))</f>
        <v>1</v>
      </c>
      <c r="J73" s="6">
        <f>INDEX('[1]RTO Register'!M$2:M$698,MATCH($A73,'[1]RTO Register'!$AA$2:$AA$698,0))</f>
        <v>1</v>
      </c>
      <c r="K73" s="6">
        <f>INDEX('[1]RTO Register'!N$2:N$698,MATCH($A73,'[1]RTO Register'!$AA$2:$AA$698,0))</f>
        <v>1</v>
      </c>
      <c r="L73" s="6">
        <f>INDEX('[1]RTO Register'!O$2:O$698,MATCH($A73,'[1]RTO Register'!$AA$2:$AA$698,0))</f>
        <v>1</v>
      </c>
      <c r="M73" s="6">
        <f>INDEX('[1]RTO Register'!P$2:P$698,MATCH($A73,'[1]RTO Register'!$AA$2:$AA$698,0))</f>
        <v>1</v>
      </c>
      <c r="N73" s="6">
        <f>INDEX('[1]RTO Register'!Q$2:Q$698,MATCH($A73,'[1]RTO Register'!$AA$2:$AA$698,0))</f>
        <v>1</v>
      </c>
      <c r="O73" s="6">
        <f>INDEX('[1]RTO Register'!R$2:R$698,MATCH($A73,'[1]RTO Register'!$AA$2:$AA$698,0))</f>
        <v>1</v>
      </c>
      <c r="P73" s="6">
        <f>INDEX('[1]RTO Register'!S$2:S$698,MATCH($A73,'[1]RTO Register'!$AA$2:$AA$698,0))</f>
        <v>1</v>
      </c>
      <c r="Q73" s="6">
        <f t="shared" si="3"/>
        <v>1</v>
      </c>
    </row>
    <row r="74" spans="1:17" x14ac:dyDescent="0.25">
      <c r="A74" t="str">
        <v>31714</v>
      </c>
      <c r="B74" t="str">
        <v>Enterprise Management Group Pty Ltd</v>
      </c>
      <c r="C74" t="str">
        <v>My Pathway</v>
      </c>
      <c r="D74" t="str">
        <f>VLOOKUP(A74,'[1]RTO Register'!AA$2:AH571,8,FALSE)</f>
        <v>4870</v>
      </c>
      <c r="E74" s="8" t="s">
        <v>89</v>
      </c>
      <c r="F74" s="1" t="str">
        <f t="shared" si="2"/>
        <v/>
      </c>
      <c r="G74" s="1" t="str">
        <f>IFERROR(IF(INDEX('[1]RTO Register'!AP$2:AP$698,MATCH($A74,'[1]RTO Register'!$AA$2:$AA$698,0))="Yes","School",""),"")</f>
        <v/>
      </c>
      <c r="H74" s="6">
        <f>INDEX('[1]RTO Register'!K$2:K$698,MATCH($A74,'[1]RTO Register'!$AA$2:$AA$698,0))</f>
        <v>1</v>
      </c>
      <c r="I74" s="6">
        <f>INDEX('[1]RTO Register'!L$2:L$698,MATCH($A74,'[1]RTO Register'!$AA$2:$AA$698,0))</f>
        <v>1</v>
      </c>
      <c r="J74" s="6">
        <f>INDEX('[1]RTO Register'!M$2:M$698,MATCH($A74,'[1]RTO Register'!$AA$2:$AA$698,0))</f>
        <v>1</v>
      </c>
      <c r="K74" s="6">
        <f>INDEX('[1]RTO Register'!N$2:N$698,MATCH($A74,'[1]RTO Register'!$AA$2:$AA$698,0))</f>
        <v>1</v>
      </c>
      <c r="L74" s="6">
        <f>INDEX('[1]RTO Register'!O$2:O$698,MATCH($A74,'[1]RTO Register'!$AA$2:$AA$698,0))</f>
        <v>1</v>
      </c>
      <c r="M74" s="6">
        <f>INDEX('[1]RTO Register'!P$2:P$698,MATCH($A74,'[1]RTO Register'!$AA$2:$AA$698,0))</f>
        <v>1</v>
      </c>
      <c r="N74" s="6">
        <f>INDEX('[1]RTO Register'!Q$2:Q$698,MATCH($A74,'[1]RTO Register'!$AA$2:$AA$698,0))</f>
        <v>1</v>
      </c>
      <c r="O74" s="6">
        <f>INDEX('[1]RTO Register'!R$2:R$698,MATCH($A74,'[1]RTO Register'!$AA$2:$AA$698,0))</f>
        <v>1</v>
      </c>
      <c r="P74" s="6">
        <f>INDEX('[1]RTO Register'!S$2:S$698,MATCH($A74,'[1]RTO Register'!$AA$2:$AA$698,0))</f>
        <v>1</v>
      </c>
      <c r="Q74" s="6">
        <f t="shared" si="3"/>
        <v>1</v>
      </c>
    </row>
    <row r="75" spans="1:17" x14ac:dyDescent="0.25">
      <c r="A75" t="str">
        <v>31718</v>
      </c>
      <c r="B75" t="str">
        <v>Asset Training Australia Pty Ltd</v>
      </c>
      <c r="C75" t="str">
        <v>Asset Training Australia</v>
      </c>
      <c r="D75" t="str">
        <f>VLOOKUP(A75,'[1]RTO Register'!AA$2:AH572,8,FALSE)</f>
        <v>4509</v>
      </c>
      <c r="E75" s="8" t="s">
        <v>90</v>
      </c>
      <c r="F75" s="1" t="str">
        <f t="shared" si="2"/>
        <v/>
      </c>
      <c r="G75" s="1" t="str">
        <f>IFERROR(IF(INDEX('[1]RTO Register'!AP$2:AP$698,MATCH($A75,'[1]RTO Register'!$AA$2:$AA$698,0))="Yes","School",""),"")</f>
        <v/>
      </c>
      <c r="H75" s="6">
        <f>INDEX('[1]RTO Register'!K$2:K$698,MATCH($A75,'[1]RTO Register'!$AA$2:$AA$698,0))</f>
        <v>1</v>
      </c>
      <c r="I75" s="6">
        <f>INDEX('[1]RTO Register'!L$2:L$698,MATCH($A75,'[1]RTO Register'!$AA$2:$AA$698,0))</f>
        <v>1</v>
      </c>
      <c r="J75" s="6">
        <f>INDEX('[1]RTO Register'!M$2:M$698,MATCH($A75,'[1]RTO Register'!$AA$2:$AA$698,0))</f>
        <v>1</v>
      </c>
      <c r="K75" s="6">
        <f>INDEX('[1]RTO Register'!N$2:N$698,MATCH($A75,'[1]RTO Register'!$AA$2:$AA$698,0))</f>
        <v>1</v>
      </c>
      <c r="L75" s="6">
        <f>INDEX('[1]RTO Register'!O$2:O$698,MATCH($A75,'[1]RTO Register'!$AA$2:$AA$698,0))</f>
        <v>1</v>
      </c>
      <c r="M75" s="6">
        <f>INDEX('[1]RTO Register'!P$2:P$698,MATCH($A75,'[1]RTO Register'!$AA$2:$AA$698,0))</f>
        <v>1</v>
      </c>
      <c r="N75" s="6">
        <f>INDEX('[1]RTO Register'!Q$2:Q$698,MATCH($A75,'[1]RTO Register'!$AA$2:$AA$698,0))</f>
        <v>1</v>
      </c>
      <c r="O75" s="6">
        <f>INDEX('[1]RTO Register'!R$2:R$698,MATCH($A75,'[1]RTO Register'!$AA$2:$AA$698,0))</f>
        <v>1</v>
      </c>
      <c r="P75" s="6">
        <f>INDEX('[1]RTO Register'!S$2:S$698,MATCH($A75,'[1]RTO Register'!$AA$2:$AA$698,0))</f>
        <v>1</v>
      </c>
      <c r="Q75" s="6">
        <f t="shared" si="3"/>
        <v>1</v>
      </c>
    </row>
    <row r="76" spans="1:17" x14ac:dyDescent="0.25">
      <c r="A76" t="str">
        <v>31731</v>
      </c>
      <c r="B76" t="str">
        <v>Austin &amp; Vanohr Pty Ltd</v>
      </c>
      <c r="C76" t="str">
        <v>Australian Consolidated Training</v>
      </c>
      <c r="D76" t="str">
        <f>VLOOKUP(A76,'[1]RTO Register'!AA$2:AH573,8,FALSE)</f>
        <v>4078</v>
      </c>
      <c r="E76" s="8" t="s">
        <v>91</v>
      </c>
      <c r="F76" s="1" t="str">
        <f t="shared" si="2"/>
        <v/>
      </c>
      <c r="G76" s="1" t="str">
        <f>IFERROR(IF(INDEX('[1]RTO Register'!AP$2:AP$698,MATCH($A76,'[1]RTO Register'!$AA$2:$AA$698,0))="Yes","School",""),"")</f>
        <v/>
      </c>
      <c r="H76" s="6">
        <f>INDEX('[1]RTO Register'!K$2:K$698,MATCH($A76,'[1]RTO Register'!$AA$2:$AA$698,0))</f>
        <v>1</v>
      </c>
      <c r="I76" s="6">
        <f>INDEX('[1]RTO Register'!L$2:L$698,MATCH($A76,'[1]RTO Register'!$AA$2:$AA$698,0))</f>
        <v>1</v>
      </c>
      <c r="J76" s="6">
        <f>INDEX('[1]RTO Register'!M$2:M$698,MATCH($A76,'[1]RTO Register'!$AA$2:$AA$698,0))</f>
        <v>1</v>
      </c>
      <c r="K76" s="6">
        <f>INDEX('[1]RTO Register'!N$2:N$698,MATCH($A76,'[1]RTO Register'!$AA$2:$AA$698,0))</f>
        <v>1</v>
      </c>
      <c r="L76" s="6">
        <f>INDEX('[1]RTO Register'!O$2:O$698,MATCH($A76,'[1]RTO Register'!$AA$2:$AA$698,0))</f>
        <v>1</v>
      </c>
      <c r="M76" s="6">
        <f>INDEX('[1]RTO Register'!P$2:P$698,MATCH($A76,'[1]RTO Register'!$AA$2:$AA$698,0))</f>
        <v>1</v>
      </c>
      <c r="N76" s="6">
        <f>INDEX('[1]RTO Register'!Q$2:Q$698,MATCH($A76,'[1]RTO Register'!$AA$2:$AA$698,0))</f>
        <v>1</v>
      </c>
      <c r="O76" s="6">
        <f>INDEX('[1]RTO Register'!R$2:R$698,MATCH($A76,'[1]RTO Register'!$AA$2:$AA$698,0))</f>
        <v>1</v>
      </c>
      <c r="P76" s="6">
        <f>INDEX('[1]RTO Register'!S$2:S$698,MATCH($A76,'[1]RTO Register'!$AA$2:$AA$698,0))</f>
        <v>1</v>
      </c>
      <c r="Q76" s="6">
        <f t="shared" si="3"/>
        <v>1</v>
      </c>
    </row>
    <row r="77" spans="1:17" x14ac:dyDescent="0.25">
      <c r="A77" t="str">
        <v>31733</v>
      </c>
      <c r="B77" t="str">
        <v>Evolution Training and Safety Pty Ltd</v>
      </c>
      <c r="C77" t="str">
        <v>Evolution Training Solutions (T4 Training)</v>
      </c>
      <c r="D77" t="str">
        <f>VLOOKUP(A77,'[1]RTO Register'!AA$2:AH574,8,FALSE)</f>
        <v>4108</v>
      </c>
      <c r="E77" s="8" t="s">
        <v>92</v>
      </c>
      <c r="F77" s="1" t="str">
        <f t="shared" si="2"/>
        <v/>
      </c>
      <c r="G77" s="1" t="str">
        <f>IFERROR(IF(INDEX('[1]RTO Register'!AP$2:AP$698,MATCH($A77,'[1]RTO Register'!$AA$2:$AA$698,0))="Yes","School",""),"")</f>
        <v/>
      </c>
      <c r="H77" s="6">
        <f>INDEX('[1]RTO Register'!K$2:K$698,MATCH($A77,'[1]RTO Register'!$AA$2:$AA$698,0))</f>
        <v>1</v>
      </c>
      <c r="I77" s="6">
        <f>INDEX('[1]RTO Register'!L$2:L$698,MATCH($A77,'[1]RTO Register'!$AA$2:$AA$698,0))</f>
        <v>1</v>
      </c>
      <c r="J77" s="6">
        <f>INDEX('[1]RTO Register'!M$2:M$698,MATCH($A77,'[1]RTO Register'!$AA$2:$AA$698,0))</f>
        <v>1</v>
      </c>
      <c r="K77" s="6">
        <f>INDEX('[1]RTO Register'!N$2:N$698,MATCH($A77,'[1]RTO Register'!$AA$2:$AA$698,0))</f>
        <v>1</v>
      </c>
      <c r="L77" s="6">
        <f>INDEX('[1]RTO Register'!O$2:O$698,MATCH($A77,'[1]RTO Register'!$AA$2:$AA$698,0))</f>
        <v>1</v>
      </c>
      <c r="M77" s="6">
        <f>INDEX('[1]RTO Register'!P$2:P$698,MATCH($A77,'[1]RTO Register'!$AA$2:$AA$698,0))</f>
        <v>1</v>
      </c>
      <c r="N77" s="6">
        <f>INDEX('[1]RTO Register'!Q$2:Q$698,MATCH($A77,'[1]RTO Register'!$AA$2:$AA$698,0))</f>
        <v>1</v>
      </c>
      <c r="O77" s="6">
        <f>INDEX('[1]RTO Register'!R$2:R$698,MATCH($A77,'[1]RTO Register'!$AA$2:$AA$698,0))</f>
        <v>1</v>
      </c>
      <c r="P77" s="6">
        <f>INDEX('[1]RTO Register'!S$2:S$698,MATCH($A77,'[1]RTO Register'!$AA$2:$AA$698,0))</f>
        <v>1</v>
      </c>
      <c r="Q77" s="6">
        <f t="shared" si="3"/>
        <v>1</v>
      </c>
    </row>
    <row r="78" spans="1:17" x14ac:dyDescent="0.25">
      <c r="A78" t="str">
        <v>31822</v>
      </c>
      <c r="B78" t="str">
        <v>Bryan Peach Institute Pty Ltd</v>
      </c>
      <c r="C78" t="str">
        <v>The Peach Institute</v>
      </c>
      <c r="D78" t="str">
        <f>VLOOKUP(A78,'[1]RTO Register'!AA$2:AH575,8,FALSE)</f>
        <v>4215</v>
      </c>
      <c r="E78" s="8" t="s">
        <v>93</v>
      </c>
      <c r="F78" s="1" t="str">
        <f t="shared" si="2"/>
        <v/>
      </c>
      <c r="G78" s="1" t="str">
        <f>IFERROR(IF(INDEX('[1]RTO Register'!AP$2:AP$698,MATCH($A78,'[1]RTO Register'!$AA$2:$AA$698,0))="Yes","School",""),"")</f>
        <v/>
      </c>
      <c r="H78" s="6">
        <f>INDEX('[1]RTO Register'!K$2:K$698,MATCH($A78,'[1]RTO Register'!$AA$2:$AA$698,0))</f>
        <v>1</v>
      </c>
      <c r="I78" s="6">
        <f>INDEX('[1]RTO Register'!L$2:L$698,MATCH($A78,'[1]RTO Register'!$AA$2:$AA$698,0))</f>
        <v>1</v>
      </c>
      <c r="J78" s="6">
        <f>INDEX('[1]RTO Register'!M$2:M$698,MATCH($A78,'[1]RTO Register'!$AA$2:$AA$698,0))</f>
        <v>1</v>
      </c>
      <c r="K78" s="6">
        <f>INDEX('[1]RTO Register'!N$2:N$698,MATCH($A78,'[1]RTO Register'!$AA$2:$AA$698,0))</f>
        <v>1</v>
      </c>
      <c r="L78" s="6">
        <f>INDEX('[1]RTO Register'!O$2:O$698,MATCH($A78,'[1]RTO Register'!$AA$2:$AA$698,0))</f>
        <v>1</v>
      </c>
      <c r="M78" s="6">
        <f>INDEX('[1]RTO Register'!P$2:P$698,MATCH($A78,'[1]RTO Register'!$AA$2:$AA$698,0))</f>
        <v>1</v>
      </c>
      <c r="N78" s="6">
        <f>INDEX('[1]RTO Register'!Q$2:Q$698,MATCH($A78,'[1]RTO Register'!$AA$2:$AA$698,0))</f>
        <v>1</v>
      </c>
      <c r="O78" s="6">
        <f>INDEX('[1]RTO Register'!R$2:R$698,MATCH($A78,'[1]RTO Register'!$AA$2:$AA$698,0))</f>
        <v>1</v>
      </c>
      <c r="P78" s="6">
        <f>INDEX('[1]RTO Register'!S$2:S$698,MATCH($A78,'[1]RTO Register'!$AA$2:$AA$698,0))</f>
        <v>1</v>
      </c>
      <c r="Q78" s="6">
        <f t="shared" si="3"/>
        <v>1</v>
      </c>
    </row>
    <row r="79" spans="1:17" x14ac:dyDescent="0.25">
      <c r="A79" t="str">
        <v>31888</v>
      </c>
      <c r="B79" t="str">
        <v>D P Training Pty Ltd as The Trustee for Goodeve Family Trust</v>
      </c>
      <c r="C79" t="str">
        <v>Developing Personnel Training &amp; Consultancy</v>
      </c>
      <c r="D79" t="str">
        <f>VLOOKUP(A79,'[1]RTO Register'!AA$2:AH576,8,FALSE)</f>
        <v>4006</v>
      </c>
      <c r="E79" s="8" t="s">
        <v>94</v>
      </c>
      <c r="F79" s="1" t="str">
        <f t="shared" si="2"/>
        <v/>
      </c>
      <c r="G79" s="1" t="str">
        <f>IFERROR(IF(INDEX('[1]RTO Register'!AP$2:AP$698,MATCH($A79,'[1]RTO Register'!$AA$2:$AA$698,0))="Yes","School",""),"")</f>
        <v/>
      </c>
      <c r="H79" s="6">
        <f>INDEX('[1]RTO Register'!K$2:K$698,MATCH($A79,'[1]RTO Register'!$AA$2:$AA$698,0))</f>
        <v>1</v>
      </c>
      <c r="I79" s="6">
        <f>INDEX('[1]RTO Register'!L$2:L$698,MATCH($A79,'[1]RTO Register'!$AA$2:$AA$698,0))</f>
        <v>1</v>
      </c>
      <c r="J79" s="6">
        <f>INDEX('[1]RTO Register'!M$2:M$698,MATCH($A79,'[1]RTO Register'!$AA$2:$AA$698,0))</f>
        <v>1</v>
      </c>
      <c r="K79" s="6">
        <f>INDEX('[1]RTO Register'!N$2:N$698,MATCH($A79,'[1]RTO Register'!$AA$2:$AA$698,0))</f>
        <v>1</v>
      </c>
      <c r="L79" s="6">
        <f>INDEX('[1]RTO Register'!O$2:O$698,MATCH($A79,'[1]RTO Register'!$AA$2:$AA$698,0))</f>
        <v>1</v>
      </c>
      <c r="M79" s="6">
        <f>INDEX('[1]RTO Register'!P$2:P$698,MATCH($A79,'[1]RTO Register'!$AA$2:$AA$698,0))</f>
        <v>1</v>
      </c>
      <c r="N79" s="6">
        <f>INDEX('[1]RTO Register'!Q$2:Q$698,MATCH($A79,'[1]RTO Register'!$AA$2:$AA$698,0))</f>
        <v>1</v>
      </c>
      <c r="O79" s="6">
        <f>INDEX('[1]RTO Register'!R$2:R$698,MATCH($A79,'[1]RTO Register'!$AA$2:$AA$698,0))</f>
        <v>1</v>
      </c>
      <c r="P79" s="6">
        <f>INDEX('[1]RTO Register'!S$2:S$698,MATCH($A79,'[1]RTO Register'!$AA$2:$AA$698,0))</f>
        <v>1</v>
      </c>
      <c r="Q79" s="6">
        <f t="shared" si="3"/>
        <v>1</v>
      </c>
    </row>
    <row r="80" spans="1:17" x14ac:dyDescent="0.25">
      <c r="A80" t="str">
        <v>31890</v>
      </c>
      <c r="B80" t="str">
        <v>Guinea Enterprises Pty Ltd</v>
      </c>
      <c r="C80" t="str">
        <v>Narbil Training Services</v>
      </c>
      <c r="D80" t="str">
        <f>VLOOKUP(A80,'[1]RTO Register'!AA$2:AH577,8,FALSE)</f>
        <v>4680</v>
      </c>
      <c r="E80" s="8" t="s">
        <v>95</v>
      </c>
      <c r="F80" s="1" t="str">
        <f t="shared" si="2"/>
        <v/>
      </c>
      <c r="G80" s="1" t="str">
        <f>IFERROR(IF(INDEX('[1]RTO Register'!AP$2:AP$698,MATCH($A80,'[1]RTO Register'!$AA$2:$AA$698,0))="Yes","School",""),"")</f>
        <v/>
      </c>
      <c r="H80" s="6">
        <f>INDEX('[1]RTO Register'!K$2:K$698,MATCH($A80,'[1]RTO Register'!$AA$2:$AA$698,0))</f>
        <v>1</v>
      </c>
      <c r="I80" s="6">
        <f>INDEX('[1]RTO Register'!L$2:L$698,MATCH($A80,'[1]RTO Register'!$AA$2:$AA$698,0))</f>
        <v>1</v>
      </c>
      <c r="J80" s="6">
        <f>INDEX('[1]RTO Register'!M$2:M$698,MATCH($A80,'[1]RTO Register'!$AA$2:$AA$698,0))</f>
        <v>1</v>
      </c>
      <c r="K80" s="6">
        <f>INDEX('[1]RTO Register'!N$2:N$698,MATCH($A80,'[1]RTO Register'!$AA$2:$AA$698,0))</f>
        <v>1</v>
      </c>
      <c r="L80" s="6">
        <f>INDEX('[1]RTO Register'!O$2:O$698,MATCH($A80,'[1]RTO Register'!$AA$2:$AA$698,0))</f>
        <v>1</v>
      </c>
      <c r="M80" s="6">
        <f>INDEX('[1]RTO Register'!P$2:P$698,MATCH($A80,'[1]RTO Register'!$AA$2:$AA$698,0))</f>
        <v>1</v>
      </c>
      <c r="N80" s="6">
        <f>INDEX('[1]RTO Register'!Q$2:Q$698,MATCH($A80,'[1]RTO Register'!$AA$2:$AA$698,0))</f>
        <v>1</v>
      </c>
      <c r="O80" s="6">
        <f>INDEX('[1]RTO Register'!R$2:R$698,MATCH($A80,'[1]RTO Register'!$AA$2:$AA$698,0))</f>
        <v>1</v>
      </c>
      <c r="P80" s="6">
        <f>INDEX('[1]RTO Register'!S$2:S$698,MATCH($A80,'[1]RTO Register'!$AA$2:$AA$698,0))</f>
        <v>1</v>
      </c>
      <c r="Q80" s="6">
        <f t="shared" si="3"/>
        <v>1</v>
      </c>
    </row>
    <row r="81" spans="1:17" x14ac:dyDescent="0.25">
      <c r="A81" t="str">
        <v>31900</v>
      </c>
      <c r="B81" t="str">
        <v>MyneSight Pty Ltd</v>
      </c>
      <c r="C81" t="str">
        <v>N/A</v>
      </c>
      <c r="D81" t="str">
        <f>VLOOKUP(A81,'[1]RTO Register'!AA$2:AH578,8,FALSE)</f>
        <v>4740</v>
      </c>
      <c r="E81" s="8" t="s">
        <v>96</v>
      </c>
      <c r="F81" s="1" t="str">
        <f t="shared" si="2"/>
        <v/>
      </c>
      <c r="G81" s="1" t="str">
        <f>IFERROR(IF(INDEX('[1]RTO Register'!AP$2:AP$698,MATCH($A81,'[1]RTO Register'!$AA$2:$AA$698,0))="Yes","School",""),"")</f>
        <v/>
      </c>
      <c r="H81" s="6">
        <f>INDEX('[1]RTO Register'!K$2:K$698,MATCH($A81,'[1]RTO Register'!$AA$2:$AA$698,0))</f>
        <v>1</v>
      </c>
      <c r="I81" s="6">
        <f>INDEX('[1]RTO Register'!L$2:L$698,MATCH($A81,'[1]RTO Register'!$AA$2:$AA$698,0))</f>
        <v>1</v>
      </c>
      <c r="J81" s="6">
        <f>INDEX('[1]RTO Register'!M$2:M$698,MATCH($A81,'[1]RTO Register'!$AA$2:$AA$698,0))</f>
        <v>1</v>
      </c>
      <c r="K81" s="6">
        <f>INDEX('[1]RTO Register'!N$2:N$698,MATCH($A81,'[1]RTO Register'!$AA$2:$AA$698,0))</f>
        <v>1</v>
      </c>
      <c r="L81" s="6">
        <f>INDEX('[1]RTO Register'!O$2:O$698,MATCH($A81,'[1]RTO Register'!$AA$2:$AA$698,0))</f>
        <v>1</v>
      </c>
      <c r="M81" s="6">
        <f>INDEX('[1]RTO Register'!P$2:P$698,MATCH($A81,'[1]RTO Register'!$AA$2:$AA$698,0))</f>
        <v>1</v>
      </c>
      <c r="N81" s="6">
        <f>INDEX('[1]RTO Register'!Q$2:Q$698,MATCH($A81,'[1]RTO Register'!$AA$2:$AA$698,0))</f>
        <v>1</v>
      </c>
      <c r="O81" s="6">
        <f>INDEX('[1]RTO Register'!R$2:R$698,MATCH($A81,'[1]RTO Register'!$AA$2:$AA$698,0))</f>
        <v>1</v>
      </c>
      <c r="P81" s="6">
        <f>INDEX('[1]RTO Register'!S$2:S$698,MATCH($A81,'[1]RTO Register'!$AA$2:$AA$698,0))</f>
        <v>1</v>
      </c>
      <c r="Q81" s="6">
        <f t="shared" si="3"/>
        <v>1</v>
      </c>
    </row>
    <row r="82" spans="1:17" x14ac:dyDescent="0.25">
      <c r="A82" t="str">
        <v>31911</v>
      </c>
      <c r="B82" t="str">
        <v>Keys Human Resources Pty Ltd</v>
      </c>
      <c r="C82" t="str">
        <v>N/A</v>
      </c>
      <c r="D82" t="str">
        <f>VLOOKUP(A82,'[1]RTO Register'!AA$2:AH579,8,FALSE)</f>
        <v>4012</v>
      </c>
      <c r="E82" s="8" t="s">
        <v>97</v>
      </c>
      <c r="F82" s="1" t="str">
        <f t="shared" si="2"/>
        <v/>
      </c>
      <c r="G82" s="1" t="str">
        <f>IFERROR(IF(INDEX('[1]RTO Register'!AP$2:AP$698,MATCH($A82,'[1]RTO Register'!$AA$2:$AA$698,0))="Yes","School",""),"")</f>
        <v/>
      </c>
      <c r="H82" s="6">
        <f>INDEX('[1]RTO Register'!K$2:K$698,MATCH($A82,'[1]RTO Register'!$AA$2:$AA$698,0))</f>
        <v>1</v>
      </c>
      <c r="I82" s="6">
        <f>INDEX('[1]RTO Register'!L$2:L$698,MATCH($A82,'[1]RTO Register'!$AA$2:$AA$698,0))</f>
        <v>1</v>
      </c>
      <c r="J82" s="6">
        <f>INDEX('[1]RTO Register'!M$2:M$698,MATCH($A82,'[1]RTO Register'!$AA$2:$AA$698,0))</f>
        <v>1</v>
      </c>
      <c r="K82" s="6">
        <f>INDEX('[1]RTO Register'!N$2:N$698,MATCH($A82,'[1]RTO Register'!$AA$2:$AA$698,0))</f>
        <v>1</v>
      </c>
      <c r="L82" s="6">
        <f>INDEX('[1]RTO Register'!O$2:O$698,MATCH($A82,'[1]RTO Register'!$AA$2:$AA$698,0))</f>
        <v>1</v>
      </c>
      <c r="M82" s="6">
        <f>INDEX('[1]RTO Register'!P$2:P$698,MATCH($A82,'[1]RTO Register'!$AA$2:$AA$698,0))</f>
        <v>1</v>
      </c>
      <c r="N82" s="6">
        <f>INDEX('[1]RTO Register'!Q$2:Q$698,MATCH($A82,'[1]RTO Register'!$AA$2:$AA$698,0))</f>
        <v>1</v>
      </c>
      <c r="O82" s="6">
        <f>INDEX('[1]RTO Register'!R$2:R$698,MATCH($A82,'[1]RTO Register'!$AA$2:$AA$698,0))</f>
        <v>1</v>
      </c>
      <c r="P82" s="6">
        <f>INDEX('[1]RTO Register'!S$2:S$698,MATCH($A82,'[1]RTO Register'!$AA$2:$AA$698,0))</f>
        <v>1</v>
      </c>
      <c r="Q82" s="6">
        <f t="shared" si="3"/>
        <v>1</v>
      </c>
    </row>
    <row r="83" spans="1:17" x14ac:dyDescent="0.25">
      <c r="A83" t="str">
        <v>31953</v>
      </c>
      <c r="B83" t="str">
        <v>Rudtek Pty Ltd</v>
      </c>
      <c r="C83" t="str">
        <v>N/A</v>
      </c>
      <c r="D83" t="str">
        <f>VLOOKUP(A83,'[1]RTO Register'!AA$2:AH580,8,FALSE)</f>
        <v>4107</v>
      </c>
      <c r="E83" s="8" t="s">
        <v>98</v>
      </c>
      <c r="F83" s="1" t="str">
        <f t="shared" si="2"/>
        <v/>
      </c>
      <c r="G83" s="1" t="str">
        <f>IFERROR(IF(INDEX('[1]RTO Register'!AP$2:AP$698,MATCH($A83,'[1]RTO Register'!$AA$2:$AA$698,0))="Yes","School",""),"")</f>
        <v/>
      </c>
      <c r="H83" s="6">
        <f>INDEX('[1]RTO Register'!K$2:K$698,MATCH($A83,'[1]RTO Register'!$AA$2:$AA$698,0))</f>
        <v>1</v>
      </c>
      <c r="I83" s="6">
        <f>INDEX('[1]RTO Register'!L$2:L$698,MATCH($A83,'[1]RTO Register'!$AA$2:$AA$698,0))</f>
        <v>1</v>
      </c>
      <c r="J83" s="6">
        <f>INDEX('[1]RTO Register'!M$2:M$698,MATCH($A83,'[1]RTO Register'!$AA$2:$AA$698,0))</f>
        <v>1</v>
      </c>
      <c r="K83" s="6">
        <f>INDEX('[1]RTO Register'!N$2:N$698,MATCH($A83,'[1]RTO Register'!$AA$2:$AA$698,0))</f>
        <v>1</v>
      </c>
      <c r="L83" s="6">
        <f>INDEX('[1]RTO Register'!O$2:O$698,MATCH($A83,'[1]RTO Register'!$AA$2:$AA$698,0))</f>
        <v>1</v>
      </c>
      <c r="M83" s="6">
        <f>INDEX('[1]RTO Register'!P$2:P$698,MATCH($A83,'[1]RTO Register'!$AA$2:$AA$698,0))</f>
        <v>1</v>
      </c>
      <c r="N83" s="6">
        <f>INDEX('[1]RTO Register'!Q$2:Q$698,MATCH($A83,'[1]RTO Register'!$AA$2:$AA$698,0))</f>
        <v>1</v>
      </c>
      <c r="O83" s="6">
        <f>INDEX('[1]RTO Register'!R$2:R$698,MATCH($A83,'[1]RTO Register'!$AA$2:$AA$698,0))</f>
        <v>1</v>
      </c>
      <c r="P83" s="6">
        <f>INDEX('[1]RTO Register'!S$2:S$698,MATCH($A83,'[1]RTO Register'!$AA$2:$AA$698,0))</f>
        <v>1</v>
      </c>
      <c r="Q83" s="6">
        <f t="shared" si="3"/>
        <v>1</v>
      </c>
    </row>
    <row r="84" spans="1:17" x14ac:dyDescent="0.25">
      <c r="A84" t="str">
        <v>31955</v>
      </c>
      <c r="B84" t="str">
        <v>Training Professionals Pty Ltd</v>
      </c>
      <c r="C84" t="str">
        <v>N/A</v>
      </c>
      <c r="D84" t="str">
        <f>VLOOKUP(A84,'[1]RTO Register'!AA$2:AH581,8,FALSE)</f>
        <v>4066</v>
      </c>
      <c r="E84" s="8" t="s">
        <v>99</v>
      </c>
      <c r="F84" s="1" t="str">
        <f t="shared" si="2"/>
        <v/>
      </c>
      <c r="G84" s="1" t="str">
        <f>IFERROR(IF(INDEX('[1]RTO Register'!AP$2:AP$698,MATCH($A84,'[1]RTO Register'!$AA$2:$AA$698,0))="Yes","School",""),"")</f>
        <v/>
      </c>
      <c r="H84" s="6">
        <f>INDEX('[1]RTO Register'!K$2:K$698,MATCH($A84,'[1]RTO Register'!$AA$2:$AA$698,0))</f>
        <v>1</v>
      </c>
      <c r="I84" s="6">
        <f>INDEX('[1]RTO Register'!L$2:L$698,MATCH($A84,'[1]RTO Register'!$AA$2:$AA$698,0))</f>
        <v>1</v>
      </c>
      <c r="J84" s="6">
        <f>INDEX('[1]RTO Register'!M$2:M$698,MATCH($A84,'[1]RTO Register'!$AA$2:$AA$698,0))</f>
        <v>1</v>
      </c>
      <c r="K84" s="6">
        <f>INDEX('[1]RTO Register'!N$2:N$698,MATCH($A84,'[1]RTO Register'!$AA$2:$AA$698,0))</f>
        <v>1</v>
      </c>
      <c r="L84" s="6">
        <f>INDEX('[1]RTO Register'!O$2:O$698,MATCH($A84,'[1]RTO Register'!$AA$2:$AA$698,0))</f>
        <v>1</v>
      </c>
      <c r="M84" s="6">
        <f>INDEX('[1]RTO Register'!P$2:P$698,MATCH($A84,'[1]RTO Register'!$AA$2:$AA$698,0))</f>
        <v>1</v>
      </c>
      <c r="N84" s="6">
        <f>INDEX('[1]RTO Register'!Q$2:Q$698,MATCH($A84,'[1]RTO Register'!$AA$2:$AA$698,0))</f>
        <v>1</v>
      </c>
      <c r="O84" s="6">
        <f>INDEX('[1]RTO Register'!R$2:R$698,MATCH($A84,'[1]RTO Register'!$AA$2:$AA$698,0))</f>
        <v>1</v>
      </c>
      <c r="P84" s="6">
        <f>INDEX('[1]RTO Register'!S$2:S$698,MATCH($A84,'[1]RTO Register'!$AA$2:$AA$698,0))</f>
        <v>1</v>
      </c>
      <c r="Q84" s="6">
        <f t="shared" si="3"/>
        <v>1</v>
      </c>
    </row>
    <row r="85" spans="1:17" x14ac:dyDescent="0.25">
      <c r="A85" t="str">
        <v>31963</v>
      </c>
      <c r="B85" t="str">
        <v>Jenagar Pty Ltd</v>
      </c>
      <c r="C85" t="str">
        <v>N/A</v>
      </c>
      <c r="D85" t="str">
        <f>VLOOKUP(A85,'[1]RTO Register'!AA$2:AH582,8,FALSE)</f>
        <v>4820</v>
      </c>
      <c r="E85" s="8" t="s">
        <v>100</v>
      </c>
      <c r="F85" s="1" t="str">
        <f t="shared" si="2"/>
        <v/>
      </c>
      <c r="G85" s="1" t="str">
        <f>IFERROR(IF(INDEX('[1]RTO Register'!AP$2:AP$698,MATCH($A85,'[1]RTO Register'!$AA$2:$AA$698,0))="Yes","School",""),"")</f>
        <v/>
      </c>
      <c r="H85" s="6">
        <f>INDEX('[1]RTO Register'!K$2:K$698,MATCH($A85,'[1]RTO Register'!$AA$2:$AA$698,0))</f>
        <v>1</v>
      </c>
      <c r="I85" s="6">
        <f>INDEX('[1]RTO Register'!L$2:L$698,MATCH($A85,'[1]RTO Register'!$AA$2:$AA$698,0))</f>
        <v>1</v>
      </c>
      <c r="J85" s="6">
        <f>INDEX('[1]RTO Register'!M$2:M$698,MATCH($A85,'[1]RTO Register'!$AA$2:$AA$698,0))</f>
        <v>1</v>
      </c>
      <c r="K85" s="6">
        <f>INDEX('[1]RTO Register'!N$2:N$698,MATCH($A85,'[1]RTO Register'!$AA$2:$AA$698,0))</f>
        <v>1</v>
      </c>
      <c r="L85" s="6">
        <f>INDEX('[1]RTO Register'!O$2:O$698,MATCH($A85,'[1]RTO Register'!$AA$2:$AA$698,0))</f>
        <v>1</v>
      </c>
      <c r="M85" s="6">
        <f>INDEX('[1]RTO Register'!P$2:P$698,MATCH($A85,'[1]RTO Register'!$AA$2:$AA$698,0))</f>
        <v>1</v>
      </c>
      <c r="N85" s="6">
        <f>INDEX('[1]RTO Register'!Q$2:Q$698,MATCH($A85,'[1]RTO Register'!$AA$2:$AA$698,0))</f>
        <v>1</v>
      </c>
      <c r="O85" s="6">
        <f>INDEX('[1]RTO Register'!R$2:R$698,MATCH($A85,'[1]RTO Register'!$AA$2:$AA$698,0))</f>
        <v>1</v>
      </c>
      <c r="P85" s="6">
        <f>INDEX('[1]RTO Register'!S$2:S$698,MATCH($A85,'[1]RTO Register'!$AA$2:$AA$698,0))</f>
        <v>1</v>
      </c>
      <c r="Q85" s="6">
        <f t="shared" si="3"/>
        <v>1</v>
      </c>
    </row>
    <row r="86" spans="1:17" x14ac:dyDescent="0.25">
      <c r="A86" t="str">
        <v>31973</v>
      </c>
      <c r="B86" t="str">
        <v>Urban E Learning Pty Ltd</v>
      </c>
      <c r="C86" t="str">
        <v>Urban E-Learning</v>
      </c>
      <c r="D86" t="str">
        <f>VLOOKUP(A86,'[1]RTO Register'!AA$2:AH583,8,FALSE)</f>
        <v>4000</v>
      </c>
      <c r="E86" s="8" t="s">
        <v>101</v>
      </c>
      <c r="F86" s="1" t="str">
        <f t="shared" si="2"/>
        <v/>
      </c>
      <c r="G86" s="1" t="str">
        <f>IFERROR(IF(INDEX('[1]RTO Register'!AP$2:AP$698,MATCH($A86,'[1]RTO Register'!$AA$2:$AA$698,0))="Yes","School",""),"")</f>
        <v/>
      </c>
      <c r="H86" s="6">
        <f>INDEX('[1]RTO Register'!K$2:K$698,MATCH($A86,'[1]RTO Register'!$AA$2:$AA$698,0))</f>
        <v>43977</v>
      </c>
      <c r="I86" s="6">
        <f>INDEX('[1]RTO Register'!L$2:L$698,MATCH($A86,'[1]RTO Register'!$AA$2:$AA$698,0))</f>
        <v>43994</v>
      </c>
      <c r="J86" s="6">
        <f>INDEX('[1]RTO Register'!M$2:M$698,MATCH($A86,'[1]RTO Register'!$AA$2:$AA$698,0))</f>
        <v>1</v>
      </c>
      <c r="K86" s="6">
        <f>INDEX('[1]RTO Register'!N$2:N$698,MATCH($A86,'[1]RTO Register'!$AA$2:$AA$698,0))</f>
        <v>1</v>
      </c>
      <c r="L86" s="6">
        <f>INDEX('[1]RTO Register'!O$2:O$698,MATCH($A86,'[1]RTO Register'!$AA$2:$AA$698,0))</f>
        <v>44028</v>
      </c>
      <c r="M86" s="6">
        <f>INDEX('[1]RTO Register'!P$2:P$698,MATCH($A86,'[1]RTO Register'!$AA$2:$AA$698,0))</f>
        <v>1</v>
      </c>
      <c r="N86" s="6">
        <f>INDEX('[1]RTO Register'!Q$2:Q$698,MATCH($A86,'[1]RTO Register'!$AA$2:$AA$698,0))</f>
        <v>1</v>
      </c>
      <c r="O86" s="6">
        <f>INDEX('[1]RTO Register'!R$2:R$698,MATCH($A86,'[1]RTO Register'!$AA$2:$AA$698,0))</f>
        <v>1</v>
      </c>
      <c r="P86" s="6">
        <f>INDEX('[1]RTO Register'!S$2:S$698,MATCH($A86,'[1]RTO Register'!$AA$2:$AA$698,0))</f>
        <v>1</v>
      </c>
      <c r="Q86" s="6">
        <f t="shared" si="3"/>
        <v>44028</v>
      </c>
    </row>
    <row r="87" spans="1:17" x14ac:dyDescent="0.25">
      <c r="A87" t="str">
        <v>31982</v>
      </c>
      <c r="B87" t="str">
        <v>SDS TRAINING AND SECURITY PTY LTD</v>
      </c>
      <c r="C87" t="str">
        <v>PRIDE INSTITUTE</v>
      </c>
      <c r="D87" t="str">
        <f>VLOOKUP(A87,'[1]RTO Register'!AA$2:AH584,8,FALSE)</f>
        <v>4127</v>
      </c>
      <c r="E87" s="8" t="s">
        <v>102</v>
      </c>
      <c r="F87" s="1" t="str">
        <f t="shared" si="2"/>
        <v/>
      </c>
      <c r="G87" s="1" t="str">
        <f>IFERROR(IF(INDEX('[1]RTO Register'!AP$2:AP$698,MATCH($A87,'[1]RTO Register'!$AA$2:$AA$698,0))="Yes","School",""),"")</f>
        <v/>
      </c>
      <c r="H87" s="6">
        <f>INDEX('[1]RTO Register'!K$2:K$698,MATCH($A87,'[1]RTO Register'!$AA$2:$AA$698,0))</f>
        <v>1</v>
      </c>
      <c r="I87" s="6">
        <f>INDEX('[1]RTO Register'!L$2:L$698,MATCH($A87,'[1]RTO Register'!$AA$2:$AA$698,0))</f>
        <v>1</v>
      </c>
      <c r="J87" s="6">
        <f>INDEX('[1]RTO Register'!M$2:M$698,MATCH($A87,'[1]RTO Register'!$AA$2:$AA$698,0))</f>
        <v>1</v>
      </c>
      <c r="K87" s="6">
        <f>INDEX('[1]RTO Register'!N$2:N$698,MATCH($A87,'[1]RTO Register'!$AA$2:$AA$698,0))</f>
        <v>1</v>
      </c>
      <c r="L87" s="6">
        <f>INDEX('[1]RTO Register'!O$2:O$698,MATCH($A87,'[1]RTO Register'!$AA$2:$AA$698,0))</f>
        <v>1</v>
      </c>
      <c r="M87" s="6">
        <f>INDEX('[1]RTO Register'!P$2:P$698,MATCH($A87,'[1]RTO Register'!$AA$2:$AA$698,0))</f>
        <v>1</v>
      </c>
      <c r="N87" s="6">
        <f>INDEX('[1]RTO Register'!Q$2:Q$698,MATCH($A87,'[1]RTO Register'!$AA$2:$AA$698,0))</f>
        <v>1</v>
      </c>
      <c r="O87" s="6">
        <f>INDEX('[1]RTO Register'!R$2:R$698,MATCH($A87,'[1]RTO Register'!$AA$2:$AA$698,0))</f>
        <v>1</v>
      </c>
      <c r="P87" s="6">
        <f>INDEX('[1]RTO Register'!S$2:S$698,MATCH($A87,'[1]RTO Register'!$AA$2:$AA$698,0))</f>
        <v>1</v>
      </c>
      <c r="Q87" s="6">
        <f t="shared" si="3"/>
        <v>1</v>
      </c>
    </row>
    <row r="88" spans="1:17" x14ac:dyDescent="0.25">
      <c r="A88" t="str">
        <v>31996</v>
      </c>
      <c r="B88" t="str">
        <v>Five Star Security Training Pty Ltd</v>
      </c>
      <c r="C88" t="str">
        <v>Five Star Training Academy</v>
      </c>
      <c r="D88" t="str">
        <f>VLOOKUP(A88,'[1]RTO Register'!AA$2:AH585,8,FALSE)</f>
        <v>4211</v>
      </c>
      <c r="E88" s="8" t="s">
        <v>103</v>
      </c>
      <c r="F88" s="1" t="str">
        <f t="shared" si="2"/>
        <v/>
      </c>
      <c r="G88" s="1" t="str">
        <f>IFERROR(IF(INDEX('[1]RTO Register'!AP$2:AP$698,MATCH($A88,'[1]RTO Register'!$AA$2:$AA$698,0))="Yes","School",""),"")</f>
        <v/>
      </c>
      <c r="H88" s="6">
        <f>INDEX('[1]RTO Register'!K$2:K$698,MATCH($A88,'[1]RTO Register'!$AA$2:$AA$698,0))</f>
        <v>1</v>
      </c>
      <c r="I88" s="6">
        <f>INDEX('[1]RTO Register'!L$2:L$698,MATCH($A88,'[1]RTO Register'!$AA$2:$AA$698,0))</f>
        <v>1</v>
      </c>
      <c r="J88" s="6">
        <f>INDEX('[1]RTO Register'!M$2:M$698,MATCH($A88,'[1]RTO Register'!$AA$2:$AA$698,0))</f>
        <v>1</v>
      </c>
      <c r="K88" s="6">
        <f>INDEX('[1]RTO Register'!N$2:N$698,MATCH($A88,'[1]RTO Register'!$AA$2:$AA$698,0))</f>
        <v>1</v>
      </c>
      <c r="L88" s="6">
        <f>INDEX('[1]RTO Register'!O$2:O$698,MATCH($A88,'[1]RTO Register'!$AA$2:$AA$698,0))</f>
        <v>1</v>
      </c>
      <c r="M88" s="6">
        <f>INDEX('[1]RTO Register'!P$2:P$698,MATCH($A88,'[1]RTO Register'!$AA$2:$AA$698,0))</f>
        <v>1</v>
      </c>
      <c r="N88" s="6">
        <f>INDEX('[1]RTO Register'!Q$2:Q$698,MATCH($A88,'[1]RTO Register'!$AA$2:$AA$698,0))</f>
        <v>1</v>
      </c>
      <c r="O88" s="6">
        <f>INDEX('[1]RTO Register'!R$2:R$698,MATCH($A88,'[1]RTO Register'!$AA$2:$AA$698,0))</f>
        <v>1</v>
      </c>
      <c r="P88" s="6">
        <f>INDEX('[1]RTO Register'!S$2:S$698,MATCH($A88,'[1]RTO Register'!$AA$2:$AA$698,0))</f>
        <v>1</v>
      </c>
      <c r="Q88" s="6">
        <f t="shared" si="3"/>
        <v>1</v>
      </c>
    </row>
    <row r="89" spans="1:17" x14ac:dyDescent="0.25">
      <c r="A89" t="str">
        <v>32052</v>
      </c>
      <c r="B89" t="str">
        <v>Future Skills Limited</v>
      </c>
      <c r="C89" t="str">
        <v>N/A</v>
      </c>
      <c r="D89" t="str">
        <f>VLOOKUP(A89,'[1]RTO Register'!AA$2:AH586,8,FALSE)</f>
        <v>4107</v>
      </c>
      <c r="E89" s="8" t="s">
        <v>104</v>
      </c>
      <c r="F89" s="1" t="str">
        <f t="shared" si="2"/>
        <v/>
      </c>
      <c r="G89" s="1" t="str">
        <f>IFERROR(IF(INDEX('[1]RTO Register'!AP$2:AP$698,MATCH($A89,'[1]RTO Register'!$AA$2:$AA$698,0))="Yes","School",""),"")</f>
        <v/>
      </c>
      <c r="H89" s="6">
        <f>INDEX('[1]RTO Register'!K$2:K$698,MATCH($A89,'[1]RTO Register'!$AA$2:$AA$698,0))</f>
        <v>43959</v>
      </c>
      <c r="I89" s="6">
        <f>INDEX('[1]RTO Register'!L$2:L$698,MATCH($A89,'[1]RTO Register'!$AA$2:$AA$698,0))</f>
        <v>1</v>
      </c>
      <c r="J89" s="6">
        <f>INDEX('[1]RTO Register'!M$2:M$698,MATCH($A89,'[1]RTO Register'!$AA$2:$AA$698,0))</f>
        <v>1</v>
      </c>
      <c r="K89" s="6">
        <f>INDEX('[1]RTO Register'!N$2:N$698,MATCH($A89,'[1]RTO Register'!$AA$2:$AA$698,0))</f>
        <v>1</v>
      </c>
      <c r="L89" s="6">
        <f>INDEX('[1]RTO Register'!O$2:O$698,MATCH($A89,'[1]RTO Register'!$AA$2:$AA$698,0))</f>
        <v>43964</v>
      </c>
      <c r="M89" s="6">
        <f>INDEX('[1]RTO Register'!P$2:P$698,MATCH($A89,'[1]RTO Register'!$AA$2:$AA$698,0))</f>
        <v>1</v>
      </c>
      <c r="N89" s="6">
        <f>INDEX('[1]RTO Register'!Q$2:Q$698,MATCH($A89,'[1]RTO Register'!$AA$2:$AA$698,0))</f>
        <v>1</v>
      </c>
      <c r="O89" s="6">
        <f>INDEX('[1]RTO Register'!R$2:R$698,MATCH($A89,'[1]RTO Register'!$AA$2:$AA$698,0))</f>
        <v>1</v>
      </c>
      <c r="P89" s="6">
        <f>INDEX('[1]RTO Register'!S$2:S$698,MATCH($A89,'[1]RTO Register'!$AA$2:$AA$698,0))</f>
        <v>44234</v>
      </c>
      <c r="Q89" s="6">
        <f t="shared" si="3"/>
        <v>44234</v>
      </c>
    </row>
    <row r="90" spans="1:17" x14ac:dyDescent="0.25">
      <c r="A90" t="str">
        <v>32108</v>
      </c>
      <c r="B90" t="str">
        <v>Ascent Training Solutions Pty Ltd</v>
      </c>
      <c r="C90" t="str">
        <v>N/A</v>
      </c>
      <c r="D90" t="str">
        <f>VLOOKUP(A90,'[1]RTO Register'!AA$2:AH587,8,FALSE)</f>
        <v>4013</v>
      </c>
      <c r="E90" s="8" t="s">
        <v>105</v>
      </c>
      <c r="F90" s="1" t="str">
        <f t="shared" si="2"/>
        <v/>
      </c>
      <c r="G90" s="1" t="str">
        <f>IFERROR(IF(INDEX('[1]RTO Register'!AP$2:AP$698,MATCH($A90,'[1]RTO Register'!$AA$2:$AA$698,0))="Yes","School",""),"")</f>
        <v/>
      </c>
      <c r="H90" s="6">
        <f>INDEX('[1]RTO Register'!K$2:K$698,MATCH($A90,'[1]RTO Register'!$AA$2:$AA$698,0))</f>
        <v>1</v>
      </c>
      <c r="I90" s="6">
        <f>INDEX('[1]RTO Register'!L$2:L$698,MATCH($A90,'[1]RTO Register'!$AA$2:$AA$698,0))</f>
        <v>1</v>
      </c>
      <c r="J90" s="6">
        <f>INDEX('[1]RTO Register'!M$2:M$698,MATCH($A90,'[1]RTO Register'!$AA$2:$AA$698,0))</f>
        <v>1</v>
      </c>
      <c r="K90" s="6">
        <f>INDEX('[1]RTO Register'!N$2:N$698,MATCH($A90,'[1]RTO Register'!$AA$2:$AA$698,0))</f>
        <v>1</v>
      </c>
      <c r="L90" s="6">
        <f>INDEX('[1]RTO Register'!O$2:O$698,MATCH($A90,'[1]RTO Register'!$AA$2:$AA$698,0))</f>
        <v>1</v>
      </c>
      <c r="M90" s="6">
        <f>INDEX('[1]RTO Register'!P$2:P$698,MATCH($A90,'[1]RTO Register'!$AA$2:$AA$698,0))</f>
        <v>1</v>
      </c>
      <c r="N90" s="6">
        <f>INDEX('[1]RTO Register'!Q$2:Q$698,MATCH($A90,'[1]RTO Register'!$AA$2:$AA$698,0))</f>
        <v>1</v>
      </c>
      <c r="O90" s="6">
        <f>INDEX('[1]RTO Register'!R$2:R$698,MATCH($A90,'[1]RTO Register'!$AA$2:$AA$698,0))</f>
        <v>1</v>
      </c>
      <c r="P90" s="6">
        <f>INDEX('[1]RTO Register'!S$2:S$698,MATCH($A90,'[1]RTO Register'!$AA$2:$AA$698,0))</f>
        <v>1</v>
      </c>
      <c r="Q90" s="6">
        <f t="shared" si="3"/>
        <v>1</v>
      </c>
    </row>
    <row r="91" spans="1:17" x14ac:dyDescent="0.25">
      <c r="A91" t="str">
        <v>32146</v>
      </c>
      <c r="B91" t="str">
        <v>Hartwell Pastoral Co Pty Ltd as trustee for KM Hartwell Family Trust</v>
      </c>
      <c r="C91" t="str">
        <v>Animal Industry Training Services</v>
      </c>
      <c r="D91" t="str">
        <f>VLOOKUP(A91,'[1]RTO Register'!AA$2:AH588,8,FALSE)</f>
        <v>4720</v>
      </c>
      <c r="E91" s="8" t="s">
        <v>106</v>
      </c>
      <c r="F91" s="1" t="str">
        <f t="shared" si="2"/>
        <v/>
      </c>
      <c r="G91" s="1" t="str">
        <f>IFERROR(IF(INDEX('[1]RTO Register'!AP$2:AP$698,MATCH($A91,'[1]RTO Register'!$AA$2:$AA$698,0))="Yes","School",""),"")</f>
        <v/>
      </c>
      <c r="H91" s="6">
        <f>INDEX('[1]RTO Register'!K$2:K$698,MATCH($A91,'[1]RTO Register'!$AA$2:$AA$698,0))</f>
        <v>1</v>
      </c>
      <c r="I91" s="6">
        <f>INDEX('[1]RTO Register'!L$2:L$698,MATCH($A91,'[1]RTO Register'!$AA$2:$AA$698,0))</f>
        <v>1</v>
      </c>
      <c r="J91" s="6">
        <f>INDEX('[1]RTO Register'!M$2:M$698,MATCH($A91,'[1]RTO Register'!$AA$2:$AA$698,0))</f>
        <v>1</v>
      </c>
      <c r="K91" s="6">
        <f>INDEX('[1]RTO Register'!N$2:N$698,MATCH($A91,'[1]RTO Register'!$AA$2:$AA$698,0))</f>
        <v>1</v>
      </c>
      <c r="L91" s="6">
        <f>INDEX('[1]RTO Register'!O$2:O$698,MATCH($A91,'[1]RTO Register'!$AA$2:$AA$698,0))</f>
        <v>1</v>
      </c>
      <c r="M91" s="6">
        <f>INDEX('[1]RTO Register'!P$2:P$698,MATCH($A91,'[1]RTO Register'!$AA$2:$AA$698,0))</f>
        <v>1</v>
      </c>
      <c r="N91" s="6">
        <f>INDEX('[1]RTO Register'!Q$2:Q$698,MATCH($A91,'[1]RTO Register'!$AA$2:$AA$698,0))</f>
        <v>1</v>
      </c>
      <c r="O91" s="6">
        <f>INDEX('[1]RTO Register'!R$2:R$698,MATCH($A91,'[1]RTO Register'!$AA$2:$AA$698,0))</f>
        <v>1</v>
      </c>
      <c r="P91" s="6">
        <f>INDEX('[1]RTO Register'!S$2:S$698,MATCH($A91,'[1]RTO Register'!$AA$2:$AA$698,0))</f>
        <v>1</v>
      </c>
      <c r="Q91" s="6">
        <f t="shared" si="3"/>
        <v>1</v>
      </c>
    </row>
    <row r="92" spans="1:17" x14ac:dyDescent="0.25">
      <c r="A92" t="str">
        <v>32186</v>
      </c>
      <c r="B92" t="str">
        <v>VOCTEC (Australia) Pty Ltd</v>
      </c>
      <c r="C92" t="str">
        <v>IPS Institute</v>
      </c>
      <c r="D92" t="str">
        <f>VLOOKUP(A92,'[1]RTO Register'!AA$2:AH589,8,FALSE)</f>
        <v>4127</v>
      </c>
      <c r="E92" s="8" t="s">
        <v>107</v>
      </c>
      <c r="F92" s="1" t="str">
        <f t="shared" si="2"/>
        <v/>
      </c>
      <c r="G92" s="1" t="str">
        <f>IFERROR(IF(INDEX('[1]RTO Register'!AP$2:AP$698,MATCH($A92,'[1]RTO Register'!$AA$2:$AA$698,0))="Yes","School",""),"")</f>
        <v/>
      </c>
      <c r="H92" s="6">
        <f>INDEX('[1]RTO Register'!K$2:K$698,MATCH($A92,'[1]RTO Register'!$AA$2:$AA$698,0))</f>
        <v>1</v>
      </c>
      <c r="I92" s="6">
        <f>INDEX('[1]RTO Register'!L$2:L$698,MATCH($A92,'[1]RTO Register'!$AA$2:$AA$698,0))</f>
        <v>1</v>
      </c>
      <c r="J92" s="6">
        <f>INDEX('[1]RTO Register'!M$2:M$698,MATCH($A92,'[1]RTO Register'!$AA$2:$AA$698,0))</f>
        <v>1</v>
      </c>
      <c r="K92" s="6">
        <f>INDEX('[1]RTO Register'!N$2:N$698,MATCH($A92,'[1]RTO Register'!$AA$2:$AA$698,0))</f>
        <v>1</v>
      </c>
      <c r="L92" s="6">
        <f>INDEX('[1]RTO Register'!O$2:O$698,MATCH($A92,'[1]RTO Register'!$AA$2:$AA$698,0))</f>
        <v>1</v>
      </c>
      <c r="M92" s="6">
        <f>INDEX('[1]RTO Register'!P$2:P$698,MATCH($A92,'[1]RTO Register'!$AA$2:$AA$698,0))</f>
        <v>1</v>
      </c>
      <c r="N92" s="6">
        <f>INDEX('[1]RTO Register'!Q$2:Q$698,MATCH($A92,'[1]RTO Register'!$AA$2:$AA$698,0))</f>
        <v>1</v>
      </c>
      <c r="O92" s="6">
        <f>INDEX('[1]RTO Register'!R$2:R$698,MATCH($A92,'[1]RTO Register'!$AA$2:$AA$698,0))</f>
        <v>1</v>
      </c>
      <c r="P92" s="6">
        <f>INDEX('[1]RTO Register'!S$2:S$698,MATCH($A92,'[1]RTO Register'!$AA$2:$AA$698,0))</f>
        <v>1</v>
      </c>
      <c r="Q92" s="6">
        <f t="shared" si="3"/>
        <v>1</v>
      </c>
    </row>
    <row r="93" spans="1:17" x14ac:dyDescent="0.25">
      <c r="A93" t="str">
        <v>32199</v>
      </c>
      <c r="B93" t="str">
        <v>SWQ Training Pty Ltd</v>
      </c>
      <c r="C93" t="str">
        <v>N/A</v>
      </c>
      <c r="D93" t="str">
        <f>VLOOKUP(A93,'[1]RTO Register'!AA$2:AH590,8,FALSE)</f>
        <v>4350</v>
      </c>
      <c r="E93" s="8" t="s">
        <v>108</v>
      </c>
      <c r="F93" s="1" t="str">
        <f t="shared" si="2"/>
        <v/>
      </c>
      <c r="G93" s="1" t="str">
        <f>IFERROR(IF(INDEX('[1]RTO Register'!AP$2:AP$698,MATCH($A93,'[1]RTO Register'!$AA$2:$AA$698,0))="Yes","School",""),"")</f>
        <v/>
      </c>
      <c r="H93" s="6">
        <f>INDEX('[1]RTO Register'!K$2:K$698,MATCH($A93,'[1]RTO Register'!$AA$2:$AA$698,0))</f>
        <v>1</v>
      </c>
      <c r="I93" s="6">
        <f>INDEX('[1]RTO Register'!L$2:L$698,MATCH($A93,'[1]RTO Register'!$AA$2:$AA$698,0))</f>
        <v>1</v>
      </c>
      <c r="J93" s="6">
        <f>INDEX('[1]RTO Register'!M$2:M$698,MATCH($A93,'[1]RTO Register'!$AA$2:$AA$698,0))</f>
        <v>1</v>
      </c>
      <c r="K93" s="6">
        <f>INDEX('[1]RTO Register'!N$2:N$698,MATCH($A93,'[1]RTO Register'!$AA$2:$AA$698,0))</f>
        <v>1</v>
      </c>
      <c r="L93" s="6">
        <f>INDEX('[1]RTO Register'!O$2:O$698,MATCH($A93,'[1]RTO Register'!$AA$2:$AA$698,0))</f>
        <v>1</v>
      </c>
      <c r="M93" s="6">
        <f>INDEX('[1]RTO Register'!P$2:P$698,MATCH($A93,'[1]RTO Register'!$AA$2:$AA$698,0))</f>
        <v>1</v>
      </c>
      <c r="N93" s="6">
        <f>INDEX('[1]RTO Register'!Q$2:Q$698,MATCH($A93,'[1]RTO Register'!$AA$2:$AA$698,0))</f>
        <v>1</v>
      </c>
      <c r="O93" s="6">
        <f>INDEX('[1]RTO Register'!R$2:R$698,MATCH($A93,'[1]RTO Register'!$AA$2:$AA$698,0))</f>
        <v>1</v>
      </c>
      <c r="P93" s="6">
        <f>INDEX('[1]RTO Register'!S$2:S$698,MATCH($A93,'[1]RTO Register'!$AA$2:$AA$698,0))</f>
        <v>1</v>
      </c>
      <c r="Q93" s="6">
        <f t="shared" si="3"/>
        <v>1</v>
      </c>
    </row>
    <row r="94" spans="1:17" x14ac:dyDescent="0.25">
      <c r="A94" t="str">
        <v>32226</v>
      </c>
      <c r="B94" t="str">
        <v>Heaton Industrial Holdings Pty Ltd</v>
      </c>
      <c r="C94" t="str">
        <v>N/A</v>
      </c>
      <c r="D94" t="str">
        <f>VLOOKUP(A94,'[1]RTO Register'!AA$2:AH591,8,FALSE)</f>
        <v>4208</v>
      </c>
      <c r="E94" s="8" t="s">
        <v>109</v>
      </c>
      <c r="F94" s="1" t="str">
        <f t="shared" si="2"/>
        <v/>
      </c>
      <c r="G94" s="1" t="str">
        <f>IFERROR(IF(INDEX('[1]RTO Register'!AP$2:AP$698,MATCH($A94,'[1]RTO Register'!$AA$2:$AA$698,0))="Yes","School",""),"")</f>
        <v/>
      </c>
      <c r="H94" s="6">
        <f>INDEX('[1]RTO Register'!K$2:K$698,MATCH($A94,'[1]RTO Register'!$AA$2:$AA$698,0))</f>
        <v>1</v>
      </c>
      <c r="I94" s="6">
        <f>INDEX('[1]RTO Register'!L$2:L$698,MATCH($A94,'[1]RTO Register'!$AA$2:$AA$698,0))</f>
        <v>1</v>
      </c>
      <c r="J94" s="6">
        <f>INDEX('[1]RTO Register'!M$2:M$698,MATCH($A94,'[1]RTO Register'!$AA$2:$AA$698,0))</f>
        <v>1</v>
      </c>
      <c r="K94" s="6">
        <f>INDEX('[1]RTO Register'!N$2:N$698,MATCH($A94,'[1]RTO Register'!$AA$2:$AA$698,0))</f>
        <v>1</v>
      </c>
      <c r="L94" s="6">
        <f>INDEX('[1]RTO Register'!O$2:O$698,MATCH($A94,'[1]RTO Register'!$AA$2:$AA$698,0))</f>
        <v>1</v>
      </c>
      <c r="M94" s="6">
        <f>INDEX('[1]RTO Register'!P$2:P$698,MATCH($A94,'[1]RTO Register'!$AA$2:$AA$698,0))</f>
        <v>1</v>
      </c>
      <c r="N94" s="6">
        <f>INDEX('[1]RTO Register'!Q$2:Q$698,MATCH($A94,'[1]RTO Register'!$AA$2:$AA$698,0))</f>
        <v>1</v>
      </c>
      <c r="O94" s="6">
        <f>INDEX('[1]RTO Register'!R$2:R$698,MATCH($A94,'[1]RTO Register'!$AA$2:$AA$698,0))</f>
        <v>1</v>
      </c>
      <c r="P94" s="6">
        <f>INDEX('[1]RTO Register'!S$2:S$698,MATCH($A94,'[1]RTO Register'!$AA$2:$AA$698,0))</f>
        <v>1</v>
      </c>
      <c r="Q94" s="6">
        <f t="shared" si="3"/>
        <v>1</v>
      </c>
    </row>
    <row r="95" spans="1:17" x14ac:dyDescent="0.25">
      <c r="A95" t="str">
        <v>32238</v>
      </c>
      <c r="B95" t="str">
        <v>Queensland Training and Development Pty Ltd</v>
      </c>
      <c r="C95" t="str">
        <v>N/A</v>
      </c>
      <c r="D95" t="str">
        <f>VLOOKUP(A95,'[1]RTO Register'!AA$2:AH592,8,FALSE)</f>
        <v>4750</v>
      </c>
      <c r="E95" s="8" t="s">
        <v>110</v>
      </c>
      <c r="F95" s="1" t="str">
        <f t="shared" si="2"/>
        <v/>
      </c>
      <c r="G95" s="1" t="str">
        <f>IFERROR(IF(INDEX('[1]RTO Register'!AP$2:AP$698,MATCH($A95,'[1]RTO Register'!$AA$2:$AA$698,0))="Yes","School",""),"")</f>
        <v/>
      </c>
      <c r="H95" s="6">
        <f>INDEX('[1]RTO Register'!K$2:K$698,MATCH($A95,'[1]RTO Register'!$AA$2:$AA$698,0))</f>
        <v>1</v>
      </c>
      <c r="I95" s="6">
        <f>INDEX('[1]RTO Register'!L$2:L$698,MATCH($A95,'[1]RTO Register'!$AA$2:$AA$698,0))</f>
        <v>1</v>
      </c>
      <c r="J95" s="6">
        <f>INDEX('[1]RTO Register'!M$2:M$698,MATCH($A95,'[1]RTO Register'!$AA$2:$AA$698,0))</f>
        <v>1</v>
      </c>
      <c r="K95" s="6">
        <f>INDEX('[1]RTO Register'!N$2:N$698,MATCH($A95,'[1]RTO Register'!$AA$2:$AA$698,0))</f>
        <v>1</v>
      </c>
      <c r="L95" s="6">
        <f>INDEX('[1]RTO Register'!O$2:O$698,MATCH($A95,'[1]RTO Register'!$AA$2:$AA$698,0))</f>
        <v>1</v>
      </c>
      <c r="M95" s="6">
        <f>INDEX('[1]RTO Register'!P$2:P$698,MATCH($A95,'[1]RTO Register'!$AA$2:$AA$698,0))</f>
        <v>1</v>
      </c>
      <c r="N95" s="6">
        <f>INDEX('[1]RTO Register'!Q$2:Q$698,MATCH($A95,'[1]RTO Register'!$AA$2:$AA$698,0))</f>
        <v>1</v>
      </c>
      <c r="O95" s="6">
        <f>INDEX('[1]RTO Register'!R$2:R$698,MATCH($A95,'[1]RTO Register'!$AA$2:$AA$698,0))</f>
        <v>1</v>
      </c>
      <c r="P95" s="6">
        <f>INDEX('[1]RTO Register'!S$2:S$698,MATCH($A95,'[1]RTO Register'!$AA$2:$AA$698,0))</f>
        <v>1</v>
      </c>
      <c r="Q95" s="6">
        <f t="shared" si="3"/>
        <v>1</v>
      </c>
    </row>
    <row r="96" spans="1:17" x14ac:dyDescent="0.25">
      <c r="A96" t="str">
        <v>32252</v>
      </c>
      <c r="B96" t="str">
        <v>Eclipse Vale Pty Ltd</v>
      </c>
      <c r="C96" t="str">
        <v>Eclipse Online Education</v>
      </c>
      <c r="D96" t="str">
        <f>VLOOKUP(A96,'[1]RTO Register'!AA$2:AH593,8,FALSE)</f>
        <v>3220</v>
      </c>
      <c r="E96" s="8" t="s">
        <v>111</v>
      </c>
      <c r="F96" s="1" t="str">
        <f t="shared" si="2"/>
        <v/>
      </c>
      <c r="G96" s="1" t="str">
        <f>IFERROR(IF(INDEX('[1]RTO Register'!AP$2:AP$698,MATCH($A96,'[1]RTO Register'!$AA$2:$AA$698,0))="Yes","School",""),"")</f>
        <v/>
      </c>
      <c r="H96" s="6">
        <f>INDEX('[1]RTO Register'!K$2:K$698,MATCH($A96,'[1]RTO Register'!$AA$2:$AA$698,0))</f>
        <v>1</v>
      </c>
      <c r="I96" s="6">
        <f>INDEX('[1]RTO Register'!L$2:L$698,MATCH($A96,'[1]RTO Register'!$AA$2:$AA$698,0))</f>
        <v>1</v>
      </c>
      <c r="J96" s="6">
        <f>INDEX('[1]RTO Register'!M$2:M$698,MATCH($A96,'[1]RTO Register'!$AA$2:$AA$698,0))</f>
        <v>1</v>
      </c>
      <c r="K96" s="6">
        <f>INDEX('[1]RTO Register'!N$2:N$698,MATCH($A96,'[1]RTO Register'!$AA$2:$AA$698,0))</f>
        <v>1</v>
      </c>
      <c r="L96" s="6">
        <f>INDEX('[1]RTO Register'!O$2:O$698,MATCH($A96,'[1]RTO Register'!$AA$2:$AA$698,0))</f>
        <v>45149</v>
      </c>
      <c r="M96" s="6">
        <f>INDEX('[1]RTO Register'!P$2:P$698,MATCH($A96,'[1]RTO Register'!$AA$2:$AA$698,0))</f>
        <v>1</v>
      </c>
      <c r="N96" s="6">
        <f>INDEX('[1]RTO Register'!Q$2:Q$698,MATCH($A96,'[1]RTO Register'!$AA$2:$AA$698,0))</f>
        <v>1</v>
      </c>
      <c r="O96" s="6">
        <f>INDEX('[1]RTO Register'!R$2:R$698,MATCH($A96,'[1]RTO Register'!$AA$2:$AA$698,0))</f>
        <v>1</v>
      </c>
      <c r="P96" s="6">
        <f>INDEX('[1]RTO Register'!S$2:S$698,MATCH($A96,'[1]RTO Register'!$AA$2:$AA$698,0))</f>
        <v>1</v>
      </c>
      <c r="Q96" s="6">
        <f t="shared" si="3"/>
        <v>45149</v>
      </c>
    </row>
    <row r="97" spans="1:17" x14ac:dyDescent="0.25">
      <c r="A97" t="str">
        <v>32292</v>
      </c>
      <c r="B97" t="str">
        <v>NSTA Pty Ltd</v>
      </c>
      <c r="C97" t="str">
        <v>N/A</v>
      </c>
      <c r="D97" t="str">
        <f>VLOOKUP(A97,'[1]RTO Register'!AA$2:AH594,8,FALSE)</f>
        <v>4212</v>
      </c>
      <c r="E97" s="8" t="s">
        <v>112</v>
      </c>
      <c r="F97" s="1" t="str">
        <f t="shared" si="2"/>
        <v/>
      </c>
      <c r="G97" s="1" t="str">
        <f>IFERROR(IF(INDEX('[1]RTO Register'!AP$2:AP$698,MATCH($A97,'[1]RTO Register'!$AA$2:$AA$698,0))="Yes","School",""),"")</f>
        <v/>
      </c>
      <c r="H97" s="6">
        <f>INDEX('[1]RTO Register'!K$2:K$698,MATCH($A97,'[1]RTO Register'!$AA$2:$AA$698,0))</f>
        <v>1</v>
      </c>
      <c r="I97" s="6">
        <f>INDEX('[1]RTO Register'!L$2:L$698,MATCH($A97,'[1]RTO Register'!$AA$2:$AA$698,0))</f>
        <v>1</v>
      </c>
      <c r="J97" s="6">
        <f>INDEX('[1]RTO Register'!M$2:M$698,MATCH($A97,'[1]RTO Register'!$AA$2:$AA$698,0))</f>
        <v>1</v>
      </c>
      <c r="K97" s="6">
        <f>INDEX('[1]RTO Register'!N$2:N$698,MATCH($A97,'[1]RTO Register'!$AA$2:$AA$698,0))</f>
        <v>1</v>
      </c>
      <c r="L97" s="6">
        <f>INDEX('[1]RTO Register'!O$2:O$698,MATCH($A97,'[1]RTO Register'!$AA$2:$AA$698,0))</f>
        <v>1</v>
      </c>
      <c r="M97" s="6">
        <f>INDEX('[1]RTO Register'!P$2:P$698,MATCH($A97,'[1]RTO Register'!$AA$2:$AA$698,0))</f>
        <v>1</v>
      </c>
      <c r="N97" s="6">
        <f>INDEX('[1]RTO Register'!Q$2:Q$698,MATCH($A97,'[1]RTO Register'!$AA$2:$AA$698,0))</f>
        <v>1</v>
      </c>
      <c r="O97" s="6">
        <f>INDEX('[1]RTO Register'!R$2:R$698,MATCH($A97,'[1]RTO Register'!$AA$2:$AA$698,0))</f>
        <v>1</v>
      </c>
      <c r="P97" s="6">
        <f>INDEX('[1]RTO Register'!S$2:S$698,MATCH($A97,'[1]RTO Register'!$AA$2:$AA$698,0))</f>
        <v>1</v>
      </c>
      <c r="Q97" s="6">
        <f t="shared" si="3"/>
        <v>1</v>
      </c>
    </row>
    <row r="98" spans="1:17" x14ac:dyDescent="0.25">
      <c r="A98" t="str">
        <v>32295</v>
      </c>
      <c r="B98" t="str">
        <v>Central Western Queensland Remote Area Planning and Development Board</v>
      </c>
      <c r="C98" t="str">
        <v>RAPAD Skilling</v>
      </c>
      <c r="D98" t="str">
        <f>VLOOKUP(A98,'[1]RTO Register'!AA$2:AH595,8,FALSE)</f>
        <v>4730</v>
      </c>
      <c r="E98" s="8" t="s">
        <v>113</v>
      </c>
      <c r="F98" s="1" t="str">
        <f t="shared" si="2"/>
        <v/>
      </c>
      <c r="G98" s="1" t="str">
        <f>IFERROR(IF(INDEX('[1]RTO Register'!AP$2:AP$698,MATCH($A98,'[1]RTO Register'!$AA$2:$AA$698,0))="Yes","School",""),"")</f>
        <v/>
      </c>
      <c r="H98" s="6">
        <f>INDEX('[1]RTO Register'!K$2:K$698,MATCH($A98,'[1]RTO Register'!$AA$2:$AA$698,0))</f>
        <v>1</v>
      </c>
      <c r="I98" s="6">
        <f>INDEX('[1]RTO Register'!L$2:L$698,MATCH($A98,'[1]RTO Register'!$AA$2:$AA$698,0))</f>
        <v>1</v>
      </c>
      <c r="J98" s="6">
        <f>INDEX('[1]RTO Register'!M$2:M$698,MATCH($A98,'[1]RTO Register'!$AA$2:$AA$698,0))</f>
        <v>1</v>
      </c>
      <c r="K98" s="6">
        <f>INDEX('[1]RTO Register'!N$2:N$698,MATCH($A98,'[1]RTO Register'!$AA$2:$AA$698,0))</f>
        <v>1</v>
      </c>
      <c r="L98" s="6">
        <f>INDEX('[1]RTO Register'!O$2:O$698,MATCH($A98,'[1]RTO Register'!$AA$2:$AA$698,0))</f>
        <v>1</v>
      </c>
      <c r="M98" s="6">
        <f>INDEX('[1]RTO Register'!P$2:P$698,MATCH($A98,'[1]RTO Register'!$AA$2:$AA$698,0))</f>
        <v>1</v>
      </c>
      <c r="N98" s="6">
        <f>INDEX('[1]RTO Register'!Q$2:Q$698,MATCH($A98,'[1]RTO Register'!$AA$2:$AA$698,0))</f>
        <v>1</v>
      </c>
      <c r="O98" s="6">
        <f>INDEX('[1]RTO Register'!R$2:R$698,MATCH($A98,'[1]RTO Register'!$AA$2:$AA$698,0))</f>
        <v>1</v>
      </c>
      <c r="P98" s="6">
        <f>INDEX('[1]RTO Register'!S$2:S$698,MATCH($A98,'[1]RTO Register'!$AA$2:$AA$698,0))</f>
        <v>1</v>
      </c>
      <c r="Q98" s="6">
        <f t="shared" si="3"/>
        <v>1</v>
      </c>
    </row>
    <row r="99" spans="1:17" x14ac:dyDescent="0.25">
      <c r="A99" t="str">
        <v>32299</v>
      </c>
      <c r="B99" t="str">
        <v>Occupational Skills Centre Australia Pty Ltd as trustee for the McCorkle Family Trust</v>
      </c>
      <c r="C99" t="str">
        <v>Occupational Skills Centre Australia Pty Ltd</v>
      </c>
      <c r="D99" t="str">
        <f>VLOOKUP(A99,'[1]RTO Register'!AA$2:AH596,8,FALSE)</f>
        <v>4700</v>
      </c>
      <c r="E99" s="8" t="s">
        <v>114</v>
      </c>
      <c r="F99" s="1" t="str">
        <f t="shared" si="2"/>
        <v/>
      </c>
      <c r="G99" s="1" t="str">
        <f>IFERROR(IF(INDEX('[1]RTO Register'!AP$2:AP$698,MATCH($A99,'[1]RTO Register'!$AA$2:$AA$698,0))="Yes","School",""),"")</f>
        <v/>
      </c>
      <c r="H99" s="6">
        <f>INDEX('[1]RTO Register'!K$2:K$698,MATCH($A99,'[1]RTO Register'!$AA$2:$AA$698,0))</f>
        <v>1</v>
      </c>
      <c r="I99" s="6">
        <f>INDEX('[1]RTO Register'!L$2:L$698,MATCH($A99,'[1]RTO Register'!$AA$2:$AA$698,0))</f>
        <v>1</v>
      </c>
      <c r="J99" s="6">
        <f>INDEX('[1]RTO Register'!M$2:M$698,MATCH($A99,'[1]RTO Register'!$AA$2:$AA$698,0))</f>
        <v>1</v>
      </c>
      <c r="K99" s="6">
        <f>INDEX('[1]RTO Register'!N$2:N$698,MATCH($A99,'[1]RTO Register'!$AA$2:$AA$698,0))</f>
        <v>1</v>
      </c>
      <c r="L99" s="6">
        <f>INDEX('[1]RTO Register'!O$2:O$698,MATCH($A99,'[1]RTO Register'!$AA$2:$AA$698,0))</f>
        <v>1</v>
      </c>
      <c r="M99" s="6">
        <f>INDEX('[1]RTO Register'!P$2:P$698,MATCH($A99,'[1]RTO Register'!$AA$2:$AA$698,0))</f>
        <v>1</v>
      </c>
      <c r="N99" s="6">
        <f>INDEX('[1]RTO Register'!Q$2:Q$698,MATCH($A99,'[1]RTO Register'!$AA$2:$AA$698,0))</f>
        <v>1</v>
      </c>
      <c r="O99" s="6">
        <f>INDEX('[1]RTO Register'!R$2:R$698,MATCH($A99,'[1]RTO Register'!$AA$2:$AA$698,0))</f>
        <v>1</v>
      </c>
      <c r="P99" s="6">
        <f>INDEX('[1]RTO Register'!S$2:S$698,MATCH($A99,'[1]RTO Register'!$AA$2:$AA$698,0))</f>
        <v>1</v>
      </c>
      <c r="Q99" s="6">
        <f t="shared" si="3"/>
        <v>1</v>
      </c>
    </row>
    <row r="100" spans="1:17" x14ac:dyDescent="0.25">
      <c r="A100" t="str">
        <v>32328</v>
      </c>
      <c r="B100" t="str">
        <v>Down to Earth Results Pty Ltd</v>
      </c>
      <c r="C100" t="str">
        <v>Down To Earth Results</v>
      </c>
      <c r="D100" t="str">
        <f>VLOOKUP(A100,'[1]RTO Register'!AA$2:AH597,8,FALSE)</f>
        <v>4680</v>
      </c>
      <c r="E100" s="8" t="s">
        <v>115</v>
      </c>
      <c r="F100" s="1" t="str">
        <f t="shared" si="2"/>
        <v/>
      </c>
      <c r="G100" s="1" t="str">
        <f>IFERROR(IF(INDEX('[1]RTO Register'!AP$2:AP$698,MATCH($A100,'[1]RTO Register'!$AA$2:$AA$698,0))="Yes","School",""),"")</f>
        <v/>
      </c>
      <c r="H100" s="6">
        <f>INDEX('[1]RTO Register'!K$2:K$698,MATCH($A100,'[1]RTO Register'!$AA$2:$AA$698,0))</f>
        <v>1</v>
      </c>
      <c r="I100" s="6">
        <f>INDEX('[1]RTO Register'!L$2:L$698,MATCH($A100,'[1]RTO Register'!$AA$2:$AA$698,0))</f>
        <v>1</v>
      </c>
      <c r="J100" s="6">
        <f>INDEX('[1]RTO Register'!M$2:M$698,MATCH($A100,'[1]RTO Register'!$AA$2:$AA$698,0))</f>
        <v>1</v>
      </c>
      <c r="K100" s="6">
        <f>INDEX('[1]RTO Register'!N$2:N$698,MATCH($A100,'[1]RTO Register'!$AA$2:$AA$698,0))</f>
        <v>1</v>
      </c>
      <c r="L100" s="6">
        <f>INDEX('[1]RTO Register'!O$2:O$698,MATCH($A100,'[1]RTO Register'!$AA$2:$AA$698,0))</f>
        <v>1</v>
      </c>
      <c r="M100" s="6">
        <f>INDEX('[1]RTO Register'!P$2:P$698,MATCH($A100,'[1]RTO Register'!$AA$2:$AA$698,0))</f>
        <v>1</v>
      </c>
      <c r="N100" s="6">
        <f>INDEX('[1]RTO Register'!Q$2:Q$698,MATCH($A100,'[1]RTO Register'!$AA$2:$AA$698,0))</f>
        <v>1</v>
      </c>
      <c r="O100" s="6">
        <f>INDEX('[1]RTO Register'!R$2:R$698,MATCH($A100,'[1]RTO Register'!$AA$2:$AA$698,0))</f>
        <v>1</v>
      </c>
      <c r="P100" s="6">
        <f>INDEX('[1]RTO Register'!S$2:S$698,MATCH($A100,'[1]RTO Register'!$AA$2:$AA$698,0))</f>
        <v>1</v>
      </c>
      <c r="Q100" s="6">
        <f t="shared" si="3"/>
        <v>1</v>
      </c>
    </row>
    <row r="101" spans="1:17" x14ac:dyDescent="0.25">
      <c r="A101" t="str">
        <v>32365</v>
      </c>
      <c r="B101" t="str">
        <v>WH&amp;S Training &amp; Assessment Services Pty Ltd</v>
      </c>
      <c r="C101" t="str">
        <v>WH&amp;S More Skills</v>
      </c>
      <c r="D101" t="str">
        <f>VLOOKUP(A101,'[1]RTO Register'!AA$2:AH598,8,FALSE)</f>
        <v>4107</v>
      </c>
      <c r="E101" s="8" t="s">
        <v>116</v>
      </c>
      <c r="F101" s="1" t="str">
        <f t="shared" si="2"/>
        <v/>
      </c>
      <c r="G101" s="1" t="str">
        <f>IFERROR(IF(INDEX('[1]RTO Register'!AP$2:AP$698,MATCH($A101,'[1]RTO Register'!$AA$2:$AA$698,0))="Yes","School",""),"")</f>
        <v/>
      </c>
      <c r="H101" s="6">
        <f>INDEX('[1]RTO Register'!K$2:K$698,MATCH($A101,'[1]RTO Register'!$AA$2:$AA$698,0))</f>
        <v>1</v>
      </c>
      <c r="I101" s="6">
        <f>INDEX('[1]RTO Register'!L$2:L$698,MATCH($A101,'[1]RTO Register'!$AA$2:$AA$698,0))</f>
        <v>1</v>
      </c>
      <c r="J101" s="6">
        <f>INDEX('[1]RTO Register'!M$2:M$698,MATCH($A101,'[1]RTO Register'!$AA$2:$AA$698,0))</f>
        <v>1</v>
      </c>
      <c r="K101" s="6">
        <f>INDEX('[1]RTO Register'!N$2:N$698,MATCH($A101,'[1]RTO Register'!$AA$2:$AA$698,0))</f>
        <v>1</v>
      </c>
      <c r="L101" s="6">
        <f>INDEX('[1]RTO Register'!O$2:O$698,MATCH($A101,'[1]RTO Register'!$AA$2:$AA$698,0))</f>
        <v>1</v>
      </c>
      <c r="M101" s="6">
        <f>INDEX('[1]RTO Register'!P$2:P$698,MATCH($A101,'[1]RTO Register'!$AA$2:$AA$698,0))</f>
        <v>1</v>
      </c>
      <c r="N101" s="6">
        <f>INDEX('[1]RTO Register'!Q$2:Q$698,MATCH($A101,'[1]RTO Register'!$AA$2:$AA$698,0))</f>
        <v>1</v>
      </c>
      <c r="O101" s="6">
        <f>INDEX('[1]RTO Register'!R$2:R$698,MATCH($A101,'[1]RTO Register'!$AA$2:$AA$698,0))</f>
        <v>1</v>
      </c>
      <c r="P101" s="6">
        <f>INDEX('[1]RTO Register'!S$2:S$698,MATCH($A101,'[1]RTO Register'!$AA$2:$AA$698,0))</f>
        <v>1</v>
      </c>
      <c r="Q101" s="6">
        <f t="shared" si="3"/>
        <v>1</v>
      </c>
    </row>
    <row r="102" spans="1:17" x14ac:dyDescent="0.25">
      <c r="A102" t="str">
        <v>32376</v>
      </c>
      <c r="B102" t="str">
        <v>EDB Training Services Pty Ltd as Trustee for The Barber Family Trust</v>
      </c>
      <c r="C102" t="str">
        <v>EDB Training Services</v>
      </c>
      <c r="D102" t="str">
        <f>VLOOKUP(A102,'[1]RTO Register'!AA$2:AH599,8,FALSE)</f>
        <v>4157</v>
      </c>
      <c r="E102" s="8" t="s">
        <v>117</v>
      </c>
      <c r="F102" s="1" t="str">
        <f t="shared" si="2"/>
        <v/>
      </c>
      <c r="G102" s="1" t="str">
        <f>IFERROR(IF(INDEX('[1]RTO Register'!AP$2:AP$698,MATCH($A102,'[1]RTO Register'!$AA$2:$AA$698,0))="Yes","School",""),"")</f>
        <v/>
      </c>
      <c r="H102" s="6">
        <f>INDEX('[1]RTO Register'!K$2:K$698,MATCH($A102,'[1]RTO Register'!$AA$2:$AA$698,0))</f>
        <v>1</v>
      </c>
      <c r="I102" s="6">
        <f>INDEX('[1]RTO Register'!L$2:L$698,MATCH($A102,'[1]RTO Register'!$AA$2:$AA$698,0))</f>
        <v>1</v>
      </c>
      <c r="J102" s="6">
        <f>INDEX('[1]RTO Register'!M$2:M$698,MATCH($A102,'[1]RTO Register'!$AA$2:$AA$698,0))</f>
        <v>1</v>
      </c>
      <c r="K102" s="6">
        <f>INDEX('[1]RTO Register'!N$2:N$698,MATCH($A102,'[1]RTO Register'!$AA$2:$AA$698,0))</f>
        <v>1</v>
      </c>
      <c r="L102" s="6">
        <f>INDEX('[1]RTO Register'!O$2:O$698,MATCH($A102,'[1]RTO Register'!$AA$2:$AA$698,0))</f>
        <v>1</v>
      </c>
      <c r="M102" s="6">
        <f>INDEX('[1]RTO Register'!P$2:P$698,MATCH($A102,'[1]RTO Register'!$AA$2:$AA$698,0))</f>
        <v>1</v>
      </c>
      <c r="N102" s="6">
        <f>INDEX('[1]RTO Register'!Q$2:Q$698,MATCH($A102,'[1]RTO Register'!$AA$2:$AA$698,0))</f>
        <v>1</v>
      </c>
      <c r="O102" s="6">
        <f>INDEX('[1]RTO Register'!R$2:R$698,MATCH($A102,'[1]RTO Register'!$AA$2:$AA$698,0))</f>
        <v>1</v>
      </c>
      <c r="P102" s="6">
        <f>INDEX('[1]RTO Register'!S$2:S$698,MATCH($A102,'[1]RTO Register'!$AA$2:$AA$698,0))</f>
        <v>1</v>
      </c>
      <c r="Q102" s="6">
        <f t="shared" si="3"/>
        <v>1</v>
      </c>
    </row>
    <row r="103" spans="1:17" x14ac:dyDescent="0.25">
      <c r="A103" t="str">
        <v>32381</v>
      </c>
      <c r="B103" t="str">
        <v>Civil Safety Pty Ltd</v>
      </c>
      <c r="C103" t="str">
        <v>Civil Safety</v>
      </c>
      <c r="D103" t="str">
        <f>VLOOKUP(A103,'[1]RTO Register'!AA$2:AH600,8,FALSE)</f>
        <v>4214</v>
      </c>
      <c r="E103" s="8" t="s">
        <v>118</v>
      </c>
      <c r="F103" s="1" t="str">
        <f t="shared" si="2"/>
        <v/>
      </c>
      <c r="G103" s="1" t="str">
        <f>IFERROR(IF(INDEX('[1]RTO Register'!AP$2:AP$698,MATCH($A103,'[1]RTO Register'!$AA$2:$AA$698,0))="Yes","School",""),"")</f>
        <v/>
      </c>
      <c r="H103" s="6">
        <f>INDEX('[1]RTO Register'!K$2:K$698,MATCH($A103,'[1]RTO Register'!$AA$2:$AA$698,0))</f>
        <v>1</v>
      </c>
      <c r="I103" s="6">
        <f>INDEX('[1]RTO Register'!L$2:L$698,MATCH($A103,'[1]RTO Register'!$AA$2:$AA$698,0))</f>
        <v>1</v>
      </c>
      <c r="J103" s="6">
        <f>INDEX('[1]RTO Register'!M$2:M$698,MATCH($A103,'[1]RTO Register'!$AA$2:$AA$698,0))</f>
        <v>1</v>
      </c>
      <c r="K103" s="6">
        <f>INDEX('[1]RTO Register'!N$2:N$698,MATCH($A103,'[1]RTO Register'!$AA$2:$AA$698,0))</f>
        <v>1</v>
      </c>
      <c r="L103" s="6">
        <f>INDEX('[1]RTO Register'!O$2:O$698,MATCH($A103,'[1]RTO Register'!$AA$2:$AA$698,0))</f>
        <v>1</v>
      </c>
      <c r="M103" s="6">
        <f>INDEX('[1]RTO Register'!P$2:P$698,MATCH($A103,'[1]RTO Register'!$AA$2:$AA$698,0))</f>
        <v>1</v>
      </c>
      <c r="N103" s="6">
        <f>INDEX('[1]RTO Register'!Q$2:Q$698,MATCH($A103,'[1]RTO Register'!$AA$2:$AA$698,0))</f>
        <v>1</v>
      </c>
      <c r="O103" s="6">
        <f>INDEX('[1]RTO Register'!R$2:R$698,MATCH($A103,'[1]RTO Register'!$AA$2:$AA$698,0))</f>
        <v>1</v>
      </c>
      <c r="P103" s="6">
        <f>INDEX('[1]RTO Register'!S$2:S$698,MATCH($A103,'[1]RTO Register'!$AA$2:$AA$698,0))</f>
        <v>1</v>
      </c>
      <c r="Q103" s="6">
        <f t="shared" si="3"/>
        <v>1</v>
      </c>
    </row>
    <row r="104" spans="1:17" x14ac:dyDescent="0.25">
      <c r="A104" t="str">
        <v>32394</v>
      </c>
      <c r="B104" t="str">
        <v>Calibre Training &amp; Development Pty Ltd as Trustee for the Calibre Unit Trust</v>
      </c>
      <c r="C104" t="str">
        <v>N/A</v>
      </c>
      <c r="D104" t="str">
        <f>VLOOKUP(A104,'[1]RTO Register'!AA$2:AH601,8,FALSE)</f>
        <v>4170</v>
      </c>
      <c r="E104" s="8" t="s">
        <v>119</v>
      </c>
      <c r="F104" s="1" t="str">
        <f t="shared" si="2"/>
        <v/>
      </c>
      <c r="G104" s="1" t="str">
        <f>IFERROR(IF(INDEX('[1]RTO Register'!AP$2:AP$698,MATCH($A104,'[1]RTO Register'!$AA$2:$AA$698,0))="Yes","School",""),"")</f>
        <v/>
      </c>
      <c r="H104" s="6">
        <f>INDEX('[1]RTO Register'!K$2:K$698,MATCH($A104,'[1]RTO Register'!$AA$2:$AA$698,0))</f>
        <v>1</v>
      </c>
      <c r="I104" s="6">
        <f>INDEX('[1]RTO Register'!L$2:L$698,MATCH($A104,'[1]RTO Register'!$AA$2:$AA$698,0))</f>
        <v>1</v>
      </c>
      <c r="J104" s="6">
        <f>INDEX('[1]RTO Register'!M$2:M$698,MATCH($A104,'[1]RTO Register'!$AA$2:$AA$698,0))</f>
        <v>1</v>
      </c>
      <c r="K104" s="6">
        <f>INDEX('[1]RTO Register'!N$2:N$698,MATCH($A104,'[1]RTO Register'!$AA$2:$AA$698,0))</f>
        <v>1</v>
      </c>
      <c r="L104" s="6">
        <f>INDEX('[1]RTO Register'!O$2:O$698,MATCH($A104,'[1]RTO Register'!$AA$2:$AA$698,0))</f>
        <v>1</v>
      </c>
      <c r="M104" s="6">
        <f>INDEX('[1]RTO Register'!P$2:P$698,MATCH($A104,'[1]RTO Register'!$AA$2:$AA$698,0))</f>
        <v>1</v>
      </c>
      <c r="N104" s="6">
        <f>INDEX('[1]RTO Register'!Q$2:Q$698,MATCH($A104,'[1]RTO Register'!$AA$2:$AA$698,0))</f>
        <v>1</v>
      </c>
      <c r="O104" s="6">
        <f>INDEX('[1]RTO Register'!R$2:R$698,MATCH($A104,'[1]RTO Register'!$AA$2:$AA$698,0))</f>
        <v>1</v>
      </c>
      <c r="P104" s="6">
        <f>INDEX('[1]RTO Register'!S$2:S$698,MATCH($A104,'[1]RTO Register'!$AA$2:$AA$698,0))</f>
        <v>1</v>
      </c>
      <c r="Q104" s="6">
        <f t="shared" si="3"/>
        <v>1</v>
      </c>
    </row>
    <row r="105" spans="1:17" x14ac:dyDescent="0.25">
      <c r="A105" t="str">
        <v>32409</v>
      </c>
      <c r="B105" t="str">
        <v>J Hutchinson Pty Ltd</v>
      </c>
      <c r="C105" t="str">
        <v>Gold Coast School of Construction</v>
      </c>
      <c r="D105" t="str">
        <f>VLOOKUP(A105,'[1]RTO Register'!AA$2:AH602,8,FALSE)</f>
        <v>4006</v>
      </c>
      <c r="E105" s="8" t="s">
        <v>120</v>
      </c>
      <c r="F105" s="1" t="str">
        <f t="shared" si="2"/>
        <v/>
      </c>
      <c r="G105" s="1" t="str">
        <f>IFERROR(IF(INDEX('[1]RTO Register'!AP$2:AP$698,MATCH($A105,'[1]RTO Register'!$AA$2:$AA$698,0))="Yes","School",""),"")</f>
        <v/>
      </c>
      <c r="H105" s="6">
        <f>INDEX('[1]RTO Register'!K$2:K$698,MATCH($A105,'[1]RTO Register'!$AA$2:$AA$698,0))</f>
        <v>1</v>
      </c>
      <c r="I105" s="6">
        <f>INDEX('[1]RTO Register'!L$2:L$698,MATCH($A105,'[1]RTO Register'!$AA$2:$AA$698,0))</f>
        <v>1</v>
      </c>
      <c r="J105" s="6">
        <f>INDEX('[1]RTO Register'!M$2:M$698,MATCH($A105,'[1]RTO Register'!$AA$2:$AA$698,0))</f>
        <v>1</v>
      </c>
      <c r="K105" s="6">
        <f>INDEX('[1]RTO Register'!N$2:N$698,MATCH($A105,'[1]RTO Register'!$AA$2:$AA$698,0))</f>
        <v>1</v>
      </c>
      <c r="L105" s="6">
        <f>INDEX('[1]RTO Register'!O$2:O$698,MATCH($A105,'[1]RTO Register'!$AA$2:$AA$698,0))</f>
        <v>1</v>
      </c>
      <c r="M105" s="6">
        <f>INDEX('[1]RTO Register'!P$2:P$698,MATCH($A105,'[1]RTO Register'!$AA$2:$AA$698,0))</f>
        <v>1</v>
      </c>
      <c r="N105" s="6">
        <f>INDEX('[1]RTO Register'!Q$2:Q$698,MATCH($A105,'[1]RTO Register'!$AA$2:$AA$698,0))</f>
        <v>1</v>
      </c>
      <c r="O105" s="6">
        <f>INDEX('[1]RTO Register'!R$2:R$698,MATCH($A105,'[1]RTO Register'!$AA$2:$AA$698,0))</f>
        <v>1</v>
      </c>
      <c r="P105" s="6">
        <f>INDEX('[1]RTO Register'!S$2:S$698,MATCH($A105,'[1]RTO Register'!$AA$2:$AA$698,0))</f>
        <v>1</v>
      </c>
      <c r="Q105" s="6">
        <f t="shared" si="3"/>
        <v>1</v>
      </c>
    </row>
    <row r="106" spans="1:17" x14ac:dyDescent="0.25">
      <c r="A106" t="str">
        <v>32438</v>
      </c>
      <c r="B106" t="str">
        <v>Everthought Education Pty Ltd</v>
      </c>
      <c r="C106" t="str">
        <v>N/A</v>
      </c>
      <c r="D106" t="str">
        <f>VLOOKUP(A106,'[1]RTO Register'!AA$2:AH603,8,FALSE)</f>
        <v>4105</v>
      </c>
      <c r="E106" s="8" t="s">
        <v>121</v>
      </c>
      <c r="F106" s="1" t="str">
        <f t="shared" si="2"/>
        <v/>
      </c>
      <c r="G106" s="1" t="str">
        <f>IFERROR(IF(INDEX('[1]RTO Register'!AP$2:AP$698,MATCH($A106,'[1]RTO Register'!$AA$2:$AA$698,0))="Yes","School",""),"")</f>
        <v/>
      </c>
      <c r="H106" s="6">
        <f>INDEX('[1]RTO Register'!K$2:K$698,MATCH($A106,'[1]RTO Register'!$AA$2:$AA$698,0))</f>
        <v>1</v>
      </c>
      <c r="I106" s="6">
        <f>INDEX('[1]RTO Register'!L$2:L$698,MATCH($A106,'[1]RTO Register'!$AA$2:$AA$698,0))</f>
        <v>1</v>
      </c>
      <c r="J106" s="6">
        <f>INDEX('[1]RTO Register'!M$2:M$698,MATCH($A106,'[1]RTO Register'!$AA$2:$AA$698,0))</f>
        <v>1</v>
      </c>
      <c r="K106" s="6">
        <f>INDEX('[1]RTO Register'!N$2:N$698,MATCH($A106,'[1]RTO Register'!$AA$2:$AA$698,0))</f>
        <v>1</v>
      </c>
      <c r="L106" s="6">
        <f>INDEX('[1]RTO Register'!O$2:O$698,MATCH($A106,'[1]RTO Register'!$AA$2:$AA$698,0))</f>
        <v>1</v>
      </c>
      <c r="M106" s="6">
        <f>INDEX('[1]RTO Register'!P$2:P$698,MATCH($A106,'[1]RTO Register'!$AA$2:$AA$698,0))</f>
        <v>1</v>
      </c>
      <c r="N106" s="6">
        <f>INDEX('[1]RTO Register'!Q$2:Q$698,MATCH($A106,'[1]RTO Register'!$AA$2:$AA$698,0))</f>
        <v>1</v>
      </c>
      <c r="O106" s="6">
        <f>INDEX('[1]RTO Register'!R$2:R$698,MATCH($A106,'[1]RTO Register'!$AA$2:$AA$698,0))</f>
        <v>1</v>
      </c>
      <c r="P106" s="6">
        <f>INDEX('[1]RTO Register'!S$2:S$698,MATCH($A106,'[1]RTO Register'!$AA$2:$AA$698,0))</f>
        <v>1</v>
      </c>
      <c r="Q106" s="6">
        <f t="shared" si="3"/>
        <v>1</v>
      </c>
    </row>
    <row r="107" spans="1:17" x14ac:dyDescent="0.25">
      <c r="A107" t="str">
        <v>32452</v>
      </c>
      <c r="B107" t="str">
        <v>Adapt Education Pty Ltd</v>
      </c>
      <c r="C107" t="str">
        <v>My Industry Training</v>
      </c>
      <c r="D107" t="str">
        <f>VLOOKUP(A107,'[1]RTO Register'!AA$2:AH604,8,FALSE)</f>
        <v>4179</v>
      </c>
      <c r="E107" s="8" t="s">
        <v>122</v>
      </c>
      <c r="F107" s="1" t="str">
        <f t="shared" si="2"/>
        <v/>
      </c>
      <c r="G107" s="1" t="str">
        <f>IFERROR(IF(INDEX('[1]RTO Register'!AP$2:AP$698,MATCH($A107,'[1]RTO Register'!$AA$2:$AA$698,0))="Yes","School",""),"")</f>
        <v/>
      </c>
      <c r="H107" s="6">
        <f>INDEX('[1]RTO Register'!K$2:K$698,MATCH($A107,'[1]RTO Register'!$AA$2:$AA$698,0))</f>
        <v>1</v>
      </c>
      <c r="I107" s="6">
        <f>INDEX('[1]RTO Register'!L$2:L$698,MATCH($A107,'[1]RTO Register'!$AA$2:$AA$698,0))</f>
        <v>1</v>
      </c>
      <c r="J107" s="6">
        <f>INDEX('[1]RTO Register'!M$2:M$698,MATCH($A107,'[1]RTO Register'!$AA$2:$AA$698,0))</f>
        <v>1</v>
      </c>
      <c r="K107" s="6">
        <f>INDEX('[1]RTO Register'!N$2:N$698,MATCH($A107,'[1]RTO Register'!$AA$2:$AA$698,0))</f>
        <v>1</v>
      </c>
      <c r="L107" s="6">
        <f>INDEX('[1]RTO Register'!O$2:O$698,MATCH($A107,'[1]RTO Register'!$AA$2:$AA$698,0))</f>
        <v>1</v>
      </c>
      <c r="M107" s="6">
        <f>INDEX('[1]RTO Register'!P$2:P$698,MATCH($A107,'[1]RTO Register'!$AA$2:$AA$698,0))</f>
        <v>1</v>
      </c>
      <c r="N107" s="6">
        <f>INDEX('[1]RTO Register'!Q$2:Q$698,MATCH($A107,'[1]RTO Register'!$AA$2:$AA$698,0))</f>
        <v>1</v>
      </c>
      <c r="O107" s="6">
        <f>INDEX('[1]RTO Register'!R$2:R$698,MATCH($A107,'[1]RTO Register'!$AA$2:$AA$698,0))</f>
        <v>1</v>
      </c>
      <c r="P107" s="6">
        <f>INDEX('[1]RTO Register'!S$2:S$698,MATCH($A107,'[1]RTO Register'!$AA$2:$AA$698,0))</f>
        <v>1</v>
      </c>
      <c r="Q107" s="6">
        <f t="shared" si="3"/>
        <v>1</v>
      </c>
    </row>
    <row r="108" spans="1:17" x14ac:dyDescent="0.25">
      <c r="A108" t="str">
        <v>32456</v>
      </c>
      <c r="B108" t="str">
        <v>W and R French</v>
      </c>
      <c r="C108" t="str">
        <v>AQTraining</v>
      </c>
      <c r="D108" t="str">
        <f>VLOOKUP(A108,'[1]RTO Register'!AA$2:AH605,8,FALSE)</f>
        <v>4207</v>
      </c>
      <c r="E108" s="8" t="s">
        <v>123</v>
      </c>
      <c r="F108" s="1" t="str">
        <f t="shared" si="2"/>
        <v/>
      </c>
      <c r="G108" s="1" t="str">
        <f>IFERROR(IF(INDEX('[1]RTO Register'!AP$2:AP$698,MATCH($A108,'[1]RTO Register'!$AA$2:$AA$698,0))="Yes","School",""),"")</f>
        <v/>
      </c>
      <c r="H108" s="6">
        <f>INDEX('[1]RTO Register'!K$2:K$698,MATCH($A108,'[1]RTO Register'!$AA$2:$AA$698,0))</f>
        <v>1</v>
      </c>
      <c r="I108" s="6">
        <f>INDEX('[1]RTO Register'!L$2:L$698,MATCH($A108,'[1]RTO Register'!$AA$2:$AA$698,0))</f>
        <v>1</v>
      </c>
      <c r="J108" s="6">
        <f>INDEX('[1]RTO Register'!M$2:M$698,MATCH($A108,'[1]RTO Register'!$AA$2:$AA$698,0))</f>
        <v>1</v>
      </c>
      <c r="K108" s="6">
        <f>INDEX('[1]RTO Register'!N$2:N$698,MATCH($A108,'[1]RTO Register'!$AA$2:$AA$698,0))</f>
        <v>1</v>
      </c>
      <c r="L108" s="6">
        <f>INDEX('[1]RTO Register'!O$2:O$698,MATCH($A108,'[1]RTO Register'!$AA$2:$AA$698,0))</f>
        <v>1</v>
      </c>
      <c r="M108" s="6">
        <f>INDEX('[1]RTO Register'!P$2:P$698,MATCH($A108,'[1]RTO Register'!$AA$2:$AA$698,0))</f>
        <v>1</v>
      </c>
      <c r="N108" s="6">
        <f>INDEX('[1]RTO Register'!Q$2:Q$698,MATCH($A108,'[1]RTO Register'!$AA$2:$AA$698,0))</f>
        <v>1</v>
      </c>
      <c r="O108" s="6">
        <f>INDEX('[1]RTO Register'!R$2:R$698,MATCH($A108,'[1]RTO Register'!$AA$2:$AA$698,0))</f>
        <v>1</v>
      </c>
      <c r="P108" s="6">
        <f>INDEX('[1]RTO Register'!S$2:S$698,MATCH($A108,'[1]RTO Register'!$AA$2:$AA$698,0))</f>
        <v>1</v>
      </c>
      <c r="Q108" s="6">
        <f t="shared" si="3"/>
        <v>1</v>
      </c>
    </row>
    <row r="109" spans="1:17" x14ac:dyDescent="0.25">
      <c r="A109" t="str">
        <v>32461</v>
      </c>
      <c r="B109" t="str">
        <v>FIFO.COM Pty Ltd</v>
      </c>
      <c r="C109" t="str">
        <v>Dawsons Training</v>
      </c>
      <c r="D109" t="str">
        <f>VLOOKUP(A109,'[1]RTO Register'!AA$2:AH606,8,FALSE)</f>
        <v>4870</v>
      </c>
      <c r="E109" s="8" t="s">
        <v>124</v>
      </c>
      <c r="F109" s="1" t="str">
        <f t="shared" si="2"/>
        <v/>
      </c>
      <c r="G109" s="1" t="str">
        <f>IFERROR(IF(INDEX('[1]RTO Register'!AP$2:AP$698,MATCH($A109,'[1]RTO Register'!$AA$2:$AA$698,0))="Yes","School",""),"")</f>
        <v/>
      </c>
      <c r="H109" s="6">
        <f>INDEX('[1]RTO Register'!K$2:K$698,MATCH($A109,'[1]RTO Register'!$AA$2:$AA$698,0))</f>
        <v>1</v>
      </c>
      <c r="I109" s="6">
        <f>INDEX('[1]RTO Register'!L$2:L$698,MATCH($A109,'[1]RTO Register'!$AA$2:$AA$698,0))</f>
        <v>1</v>
      </c>
      <c r="J109" s="6">
        <f>INDEX('[1]RTO Register'!M$2:M$698,MATCH($A109,'[1]RTO Register'!$AA$2:$AA$698,0))</f>
        <v>1</v>
      </c>
      <c r="K109" s="6">
        <f>INDEX('[1]RTO Register'!N$2:N$698,MATCH($A109,'[1]RTO Register'!$AA$2:$AA$698,0))</f>
        <v>1</v>
      </c>
      <c r="L109" s="6">
        <f>INDEX('[1]RTO Register'!O$2:O$698,MATCH($A109,'[1]RTO Register'!$AA$2:$AA$698,0))</f>
        <v>1</v>
      </c>
      <c r="M109" s="6">
        <f>INDEX('[1]RTO Register'!P$2:P$698,MATCH($A109,'[1]RTO Register'!$AA$2:$AA$698,0))</f>
        <v>1</v>
      </c>
      <c r="N109" s="6">
        <f>INDEX('[1]RTO Register'!Q$2:Q$698,MATCH($A109,'[1]RTO Register'!$AA$2:$AA$698,0))</f>
        <v>1</v>
      </c>
      <c r="O109" s="6">
        <f>INDEX('[1]RTO Register'!R$2:R$698,MATCH($A109,'[1]RTO Register'!$AA$2:$AA$698,0))</f>
        <v>1</v>
      </c>
      <c r="P109" s="6">
        <f>INDEX('[1]RTO Register'!S$2:S$698,MATCH($A109,'[1]RTO Register'!$AA$2:$AA$698,0))</f>
        <v>1</v>
      </c>
      <c r="Q109" s="6">
        <f t="shared" si="3"/>
        <v>1</v>
      </c>
    </row>
    <row r="110" spans="1:17" x14ac:dyDescent="0.25">
      <c r="A110" t="str">
        <v>32485</v>
      </c>
      <c r="B110" t="str">
        <v>Halo Nation Training Pty Ltd</v>
      </c>
      <c r="C110" t="str">
        <v>N/A</v>
      </c>
      <c r="D110" t="str">
        <f>VLOOKUP(A110,'[1]RTO Register'!AA$2:AH607,8,FALSE)</f>
        <v>4178</v>
      </c>
      <c r="E110" s="8" t="s">
        <v>125</v>
      </c>
      <c r="F110" s="1" t="str">
        <f t="shared" si="2"/>
        <v/>
      </c>
      <c r="G110" s="1" t="str">
        <f>IFERROR(IF(INDEX('[1]RTO Register'!AP$2:AP$698,MATCH($A110,'[1]RTO Register'!$AA$2:$AA$698,0))="Yes","School",""),"")</f>
        <v/>
      </c>
      <c r="H110" s="6">
        <f>INDEX('[1]RTO Register'!K$2:K$698,MATCH($A110,'[1]RTO Register'!$AA$2:$AA$698,0))</f>
        <v>1</v>
      </c>
      <c r="I110" s="6">
        <f>INDEX('[1]RTO Register'!L$2:L$698,MATCH($A110,'[1]RTO Register'!$AA$2:$AA$698,0))</f>
        <v>1</v>
      </c>
      <c r="J110" s="6">
        <f>INDEX('[1]RTO Register'!M$2:M$698,MATCH($A110,'[1]RTO Register'!$AA$2:$AA$698,0))</f>
        <v>1</v>
      </c>
      <c r="K110" s="6">
        <f>INDEX('[1]RTO Register'!N$2:N$698,MATCH($A110,'[1]RTO Register'!$AA$2:$AA$698,0))</f>
        <v>1</v>
      </c>
      <c r="L110" s="6">
        <f>INDEX('[1]RTO Register'!O$2:O$698,MATCH($A110,'[1]RTO Register'!$AA$2:$AA$698,0))</f>
        <v>1</v>
      </c>
      <c r="M110" s="6">
        <f>INDEX('[1]RTO Register'!P$2:P$698,MATCH($A110,'[1]RTO Register'!$AA$2:$AA$698,0))</f>
        <v>1</v>
      </c>
      <c r="N110" s="6">
        <f>INDEX('[1]RTO Register'!Q$2:Q$698,MATCH($A110,'[1]RTO Register'!$AA$2:$AA$698,0))</f>
        <v>1</v>
      </c>
      <c r="O110" s="6">
        <f>INDEX('[1]RTO Register'!R$2:R$698,MATCH($A110,'[1]RTO Register'!$AA$2:$AA$698,0))</f>
        <v>1</v>
      </c>
      <c r="P110" s="6">
        <f>INDEX('[1]RTO Register'!S$2:S$698,MATCH($A110,'[1]RTO Register'!$AA$2:$AA$698,0))</f>
        <v>1</v>
      </c>
      <c r="Q110" s="6">
        <f t="shared" si="3"/>
        <v>1</v>
      </c>
    </row>
    <row r="111" spans="1:17" x14ac:dyDescent="0.25">
      <c r="A111" t="str">
        <v>32505</v>
      </c>
      <c r="B111" t="str">
        <v>Strategic Health Services Pty Ltd</v>
      </c>
      <c r="C111" t="str">
        <v>SDS Training</v>
      </c>
      <c r="D111" t="str">
        <f>VLOOKUP(A111,'[1]RTO Register'!AA$2:AH608,8,FALSE)</f>
        <v>4650</v>
      </c>
      <c r="E111" s="8" t="s">
        <v>126</v>
      </c>
      <c r="F111" s="1" t="str">
        <f t="shared" si="2"/>
        <v/>
      </c>
      <c r="G111" s="1" t="str">
        <f>IFERROR(IF(INDEX('[1]RTO Register'!AP$2:AP$698,MATCH($A111,'[1]RTO Register'!$AA$2:$AA$698,0))="Yes","School",""),"")</f>
        <v/>
      </c>
      <c r="H111" s="6">
        <f>INDEX('[1]RTO Register'!K$2:K$698,MATCH($A111,'[1]RTO Register'!$AA$2:$AA$698,0))</f>
        <v>1</v>
      </c>
      <c r="I111" s="6">
        <f>INDEX('[1]RTO Register'!L$2:L$698,MATCH($A111,'[1]RTO Register'!$AA$2:$AA$698,0))</f>
        <v>1</v>
      </c>
      <c r="J111" s="6">
        <f>INDEX('[1]RTO Register'!M$2:M$698,MATCH($A111,'[1]RTO Register'!$AA$2:$AA$698,0))</f>
        <v>1</v>
      </c>
      <c r="K111" s="6">
        <f>INDEX('[1]RTO Register'!N$2:N$698,MATCH($A111,'[1]RTO Register'!$AA$2:$AA$698,0))</f>
        <v>1</v>
      </c>
      <c r="L111" s="6">
        <f>INDEX('[1]RTO Register'!O$2:O$698,MATCH($A111,'[1]RTO Register'!$AA$2:$AA$698,0))</f>
        <v>1</v>
      </c>
      <c r="M111" s="6">
        <f>INDEX('[1]RTO Register'!P$2:P$698,MATCH($A111,'[1]RTO Register'!$AA$2:$AA$698,0))</f>
        <v>1</v>
      </c>
      <c r="N111" s="6">
        <f>INDEX('[1]RTO Register'!Q$2:Q$698,MATCH($A111,'[1]RTO Register'!$AA$2:$AA$698,0))</f>
        <v>1</v>
      </c>
      <c r="O111" s="6">
        <f>INDEX('[1]RTO Register'!R$2:R$698,MATCH($A111,'[1]RTO Register'!$AA$2:$AA$698,0))</f>
        <v>1</v>
      </c>
      <c r="P111" s="6">
        <f>INDEX('[1]RTO Register'!S$2:S$698,MATCH($A111,'[1]RTO Register'!$AA$2:$AA$698,0))</f>
        <v>1</v>
      </c>
      <c r="Q111" s="6">
        <f t="shared" si="3"/>
        <v>1</v>
      </c>
    </row>
    <row r="112" spans="1:17" x14ac:dyDescent="0.25">
      <c r="A112" t="str">
        <v>32507</v>
      </c>
      <c r="B112" t="str">
        <v>Coal Train Pty Ltd</v>
      </c>
      <c r="C112" t="str">
        <v>Coal Train</v>
      </c>
      <c r="D112" t="str">
        <f>VLOOKUP(A112,'[1]RTO Register'!AA$2:AH609,8,FALSE)</f>
        <v>4703</v>
      </c>
      <c r="E112" s="8" t="s">
        <v>127</v>
      </c>
      <c r="F112" s="1" t="str">
        <f t="shared" si="2"/>
        <v/>
      </c>
      <c r="G112" s="1" t="str">
        <f>IFERROR(IF(INDEX('[1]RTO Register'!AP$2:AP$698,MATCH($A112,'[1]RTO Register'!$AA$2:$AA$698,0))="Yes","School",""),"")</f>
        <v/>
      </c>
      <c r="H112" s="6">
        <f>INDEX('[1]RTO Register'!K$2:K$698,MATCH($A112,'[1]RTO Register'!$AA$2:$AA$698,0))</f>
        <v>1</v>
      </c>
      <c r="I112" s="6">
        <f>INDEX('[1]RTO Register'!L$2:L$698,MATCH($A112,'[1]RTO Register'!$AA$2:$AA$698,0))</f>
        <v>1</v>
      </c>
      <c r="J112" s="6">
        <f>INDEX('[1]RTO Register'!M$2:M$698,MATCH($A112,'[1]RTO Register'!$AA$2:$AA$698,0))</f>
        <v>1</v>
      </c>
      <c r="K112" s="6">
        <f>INDEX('[1]RTO Register'!N$2:N$698,MATCH($A112,'[1]RTO Register'!$AA$2:$AA$698,0))</f>
        <v>1</v>
      </c>
      <c r="L112" s="6">
        <f>INDEX('[1]RTO Register'!O$2:O$698,MATCH($A112,'[1]RTO Register'!$AA$2:$AA$698,0))</f>
        <v>1</v>
      </c>
      <c r="M112" s="6">
        <f>INDEX('[1]RTO Register'!P$2:P$698,MATCH($A112,'[1]RTO Register'!$AA$2:$AA$698,0))</f>
        <v>1</v>
      </c>
      <c r="N112" s="6">
        <f>INDEX('[1]RTO Register'!Q$2:Q$698,MATCH($A112,'[1]RTO Register'!$AA$2:$AA$698,0))</f>
        <v>1</v>
      </c>
      <c r="O112" s="6">
        <f>INDEX('[1]RTO Register'!R$2:R$698,MATCH($A112,'[1]RTO Register'!$AA$2:$AA$698,0))</f>
        <v>1</v>
      </c>
      <c r="P112" s="6">
        <f>INDEX('[1]RTO Register'!S$2:S$698,MATCH($A112,'[1]RTO Register'!$AA$2:$AA$698,0))</f>
        <v>1</v>
      </c>
      <c r="Q112" s="6">
        <f t="shared" si="3"/>
        <v>1</v>
      </c>
    </row>
    <row r="113" spans="1:17" x14ac:dyDescent="0.25">
      <c r="A113" t="str">
        <v>32509</v>
      </c>
      <c r="B113" t="str">
        <v>EM-Care Pty Ltd</v>
      </c>
      <c r="C113" t="str">
        <v>N/A</v>
      </c>
      <c r="D113" t="str">
        <f>VLOOKUP(A113,'[1]RTO Register'!AA$2:AH610,8,FALSE)</f>
        <v>4165</v>
      </c>
      <c r="E113" s="8" t="s">
        <v>128</v>
      </c>
      <c r="F113" s="1" t="str">
        <f t="shared" si="2"/>
        <v/>
      </c>
      <c r="G113" s="1" t="str">
        <f>IFERROR(IF(INDEX('[1]RTO Register'!AP$2:AP$698,MATCH($A113,'[1]RTO Register'!$AA$2:$AA$698,0))="Yes","School",""),"")</f>
        <v/>
      </c>
      <c r="H113" s="6">
        <f>INDEX('[1]RTO Register'!K$2:K$698,MATCH($A113,'[1]RTO Register'!$AA$2:$AA$698,0))</f>
        <v>1</v>
      </c>
      <c r="I113" s="6">
        <f>INDEX('[1]RTO Register'!L$2:L$698,MATCH($A113,'[1]RTO Register'!$AA$2:$AA$698,0))</f>
        <v>1</v>
      </c>
      <c r="J113" s="6">
        <f>INDEX('[1]RTO Register'!M$2:M$698,MATCH($A113,'[1]RTO Register'!$AA$2:$AA$698,0))</f>
        <v>1</v>
      </c>
      <c r="K113" s="6">
        <f>INDEX('[1]RTO Register'!N$2:N$698,MATCH($A113,'[1]RTO Register'!$AA$2:$AA$698,0))</f>
        <v>1</v>
      </c>
      <c r="L113" s="6">
        <f>INDEX('[1]RTO Register'!O$2:O$698,MATCH($A113,'[1]RTO Register'!$AA$2:$AA$698,0))</f>
        <v>1</v>
      </c>
      <c r="M113" s="6">
        <f>INDEX('[1]RTO Register'!P$2:P$698,MATCH($A113,'[1]RTO Register'!$AA$2:$AA$698,0))</f>
        <v>1</v>
      </c>
      <c r="N113" s="6">
        <f>INDEX('[1]RTO Register'!Q$2:Q$698,MATCH($A113,'[1]RTO Register'!$AA$2:$AA$698,0))</f>
        <v>1</v>
      </c>
      <c r="O113" s="6">
        <f>INDEX('[1]RTO Register'!R$2:R$698,MATCH($A113,'[1]RTO Register'!$AA$2:$AA$698,0))</f>
        <v>1</v>
      </c>
      <c r="P113" s="6">
        <f>INDEX('[1]RTO Register'!S$2:S$698,MATCH($A113,'[1]RTO Register'!$AA$2:$AA$698,0))</f>
        <v>1</v>
      </c>
      <c r="Q113" s="6">
        <f t="shared" si="3"/>
        <v>1</v>
      </c>
    </row>
    <row r="114" spans="1:17" x14ac:dyDescent="0.25">
      <c r="A114" t="str">
        <v>32512</v>
      </c>
      <c r="B114" t="str">
        <v>Construction Training College Pty Ltd</v>
      </c>
      <c r="C114" t="str">
        <v>N/A</v>
      </c>
      <c r="D114" t="str">
        <f>VLOOKUP(A114,'[1]RTO Register'!AA$2:AH611,8,FALSE)</f>
        <v>4207</v>
      </c>
      <c r="E114" s="8" t="s">
        <v>129</v>
      </c>
      <c r="F114" s="1" t="str">
        <f t="shared" si="2"/>
        <v/>
      </c>
      <c r="G114" s="1" t="str">
        <f>IFERROR(IF(INDEX('[1]RTO Register'!AP$2:AP$698,MATCH($A114,'[1]RTO Register'!$AA$2:$AA$698,0))="Yes","School",""),"")</f>
        <v/>
      </c>
      <c r="H114" s="6">
        <f>INDEX('[1]RTO Register'!K$2:K$698,MATCH($A114,'[1]RTO Register'!$AA$2:$AA$698,0))</f>
        <v>1</v>
      </c>
      <c r="I114" s="6">
        <f>INDEX('[1]RTO Register'!L$2:L$698,MATCH($A114,'[1]RTO Register'!$AA$2:$AA$698,0))</f>
        <v>1</v>
      </c>
      <c r="J114" s="6">
        <f>INDEX('[1]RTO Register'!M$2:M$698,MATCH($A114,'[1]RTO Register'!$AA$2:$AA$698,0))</f>
        <v>1</v>
      </c>
      <c r="K114" s="6">
        <f>INDEX('[1]RTO Register'!N$2:N$698,MATCH($A114,'[1]RTO Register'!$AA$2:$AA$698,0))</f>
        <v>1</v>
      </c>
      <c r="L114" s="6">
        <f>INDEX('[1]RTO Register'!O$2:O$698,MATCH($A114,'[1]RTO Register'!$AA$2:$AA$698,0))</f>
        <v>1</v>
      </c>
      <c r="M114" s="6">
        <f>INDEX('[1]RTO Register'!P$2:P$698,MATCH($A114,'[1]RTO Register'!$AA$2:$AA$698,0))</f>
        <v>1</v>
      </c>
      <c r="N114" s="6">
        <f>INDEX('[1]RTO Register'!Q$2:Q$698,MATCH($A114,'[1]RTO Register'!$AA$2:$AA$698,0))</f>
        <v>1</v>
      </c>
      <c r="O114" s="6">
        <f>INDEX('[1]RTO Register'!R$2:R$698,MATCH($A114,'[1]RTO Register'!$AA$2:$AA$698,0))</f>
        <v>1</v>
      </c>
      <c r="P114" s="6">
        <f>INDEX('[1]RTO Register'!S$2:S$698,MATCH($A114,'[1]RTO Register'!$AA$2:$AA$698,0))</f>
        <v>1</v>
      </c>
      <c r="Q114" s="6">
        <f t="shared" si="3"/>
        <v>1</v>
      </c>
    </row>
    <row r="115" spans="1:17" x14ac:dyDescent="0.25">
      <c r="A115" t="str">
        <v>32519</v>
      </c>
      <c r="B115" t="str">
        <v>Australian Skills Group Pty Ltd</v>
      </c>
      <c r="C115" t="str">
        <v>Australian Skills Recruitment</v>
      </c>
      <c r="D115" t="str">
        <f>VLOOKUP(A115,'[1]RTO Register'!AA$2:AH612,8,FALSE)</f>
        <v>4500</v>
      </c>
      <c r="E115" s="8" t="s">
        <v>130</v>
      </c>
      <c r="F115" s="1" t="str">
        <f t="shared" si="2"/>
        <v/>
      </c>
      <c r="G115" s="1" t="str">
        <f>IFERROR(IF(INDEX('[1]RTO Register'!AP$2:AP$698,MATCH($A115,'[1]RTO Register'!$AA$2:$AA$698,0))="Yes","School",""),"")</f>
        <v/>
      </c>
      <c r="H115" s="6">
        <f>INDEX('[1]RTO Register'!K$2:K$698,MATCH($A115,'[1]RTO Register'!$AA$2:$AA$698,0))</f>
        <v>1</v>
      </c>
      <c r="I115" s="6">
        <f>INDEX('[1]RTO Register'!L$2:L$698,MATCH($A115,'[1]RTO Register'!$AA$2:$AA$698,0))</f>
        <v>1</v>
      </c>
      <c r="J115" s="6">
        <f>INDEX('[1]RTO Register'!M$2:M$698,MATCH($A115,'[1]RTO Register'!$AA$2:$AA$698,0))</f>
        <v>1</v>
      </c>
      <c r="K115" s="6">
        <f>INDEX('[1]RTO Register'!N$2:N$698,MATCH($A115,'[1]RTO Register'!$AA$2:$AA$698,0))</f>
        <v>1</v>
      </c>
      <c r="L115" s="6">
        <f>INDEX('[1]RTO Register'!O$2:O$698,MATCH($A115,'[1]RTO Register'!$AA$2:$AA$698,0))</f>
        <v>1</v>
      </c>
      <c r="M115" s="6">
        <f>INDEX('[1]RTO Register'!P$2:P$698,MATCH($A115,'[1]RTO Register'!$AA$2:$AA$698,0))</f>
        <v>1</v>
      </c>
      <c r="N115" s="6">
        <f>INDEX('[1]RTO Register'!Q$2:Q$698,MATCH($A115,'[1]RTO Register'!$AA$2:$AA$698,0))</f>
        <v>1</v>
      </c>
      <c r="O115" s="6">
        <f>INDEX('[1]RTO Register'!R$2:R$698,MATCH($A115,'[1]RTO Register'!$AA$2:$AA$698,0))</f>
        <v>1</v>
      </c>
      <c r="P115" s="6">
        <f>INDEX('[1]RTO Register'!S$2:S$698,MATCH($A115,'[1]RTO Register'!$AA$2:$AA$698,0))</f>
        <v>1</v>
      </c>
      <c r="Q115" s="6">
        <f t="shared" si="3"/>
        <v>1</v>
      </c>
    </row>
    <row r="116" spans="1:17" x14ac:dyDescent="0.25">
      <c r="A116" t="str">
        <v>32577</v>
      </c>
      <c r="B116" t="str">
        <v>Central Safety Training and Assessing Services Pty Ltd</v>
      </c>
      <c r="C116" t="str">
        <v>All States Training</v>
      </c>
      <c r="D116" t="str">
        <f>VLOOKUP(A116,'[1]RTO Register'!AA$2:AH613,8,FALSE)</f>
        <v>4650</v>
      </c>
      <c r="E116" s="8" t="s">
        <v>131</v>
      </c>
      <c r="F116" s="1" t="str">
        <f t="shared" si="2"/>
        <v/>
      </c>
      <c r="G116" s="1" t="str">
        <f>IFERROR(IF(INDEX('[1]RTO Register'!AP$2:AP$698,MATCH($A116,'[1]RTO Register'!$AA$2:$AA$698,0))="Yes","School",""),"")</f>
        <v/>
      </c>
      <c r="H116" s="6">
        <f>INDEX('[1]RTO Register'!K$2:K$698,MATCH($A116,'[1]RTO Register'!$AA$2:$AA$698,0))</f>
        <v>1</v>
      </c>
      <c r="I116" s="6">
        <f>INDEX('[1]RTO Register'!L$2:L$698,MATCH($A116,'[1]RTO Register'!$AA$2:$AA$698,0))</f>
        <v>1</v>
      </c>
      <c r="J116" s="6">
        <f>INDEX('[1]RTO Register'!M$2:M$698,MATCH($A116,'[1]RTO Register'!$AA$2:$AA$698,0))</f>
        <v>1</v>
      </c>
      <c r="K116" s="6">
        <f>INDEX('[1]RTO Register'!N$2:N$698,MATCH($A116,'[1]RTO Register'!$AA$2:$AA$698,0))</f>
        <v>1</v>
      </c>
      <c r="L116" s="6">
        <f>INDEX('[1]RTO Register'!O$2:O$698,MATCH($A116,'[1]RTO Register'!$AA$2:$AA$698,0))</f>
        <v>1</v>
      </c>
      <c r="M116" s="6">
        <f>INDEX('[1]RTO Register'!P$2:P$698,MATCH($A116,'[1]RTO Register'!$AA$2:$AA$698,0))</f>
        <v>1</v>
      </c>
      <c r="N116" s="6">
        <f>INDEX('[1]RTO Register'!Q$2:Q$698,MATCH($A116,'[1]RTO Register'!$AA$2:$AA$698,0))</f>
        <v>1</v>
      </c>
      <c r="O116" s="6">
        <f>INDEX('[1]RTO Register'!R$2:R$698,MATCH($A116,'[1]RTO Register'!$AA$2:$AA$698,0))</f>
        <v>1</v>
      </c>
      <c r="P116" s="6">
        <f>INDEX('[1]RTO Register'!S$2:S$698,MATCH($A116,'[1]RTO Register'!$AA$2:$AA$698,0))</f>
        <v>1</v>
      </c>
      <c r="Q116" s="6">
        <f t="shared" si="3"/>
        <v>1</v>
      </c>
    </row>
    <row r="117" spans="1:17" x14ac:dyDescent="0.25">
      <c r="A117" t="str">
        <v>3399</v>
      </c>
      <c r="B117" t="str">
        <v>ABC Licence Training Pty Ltd</v>
      </c>
      <c r="C117" t="str">
        <v>ABC First Aid</v>
      </c>
      <c r="D117" t="str">
        <f>VLOOKUP(A117,'[1]RTO Register'!AA$2:AH614,8,FALSE)</f>
        <v>3144</v>
      </c>
      <c r="E117" s="8" t="s">
        <v>132</v>
      </c>
      <c r="F117" s="1" t="str">
        <f t="shared" si="2"/>
        <v/>
      </c>
      <c r="G117" s="1" t="str">
        <f>IFERROR(IF(INDEX('[1]RTO Register'!AP$2:AP$698,MATCH($A117,'[1]RTO Register'!$AA$2:$AA$698,0))="Yes","School",""),"")</f>
        <v/>
      </c>
      <c r="H117" s="6">
        <f>INDEX('[1]RTO Register'!K$2:K$698,MATCH($A117,'[1]RTO Register'!$AA$2:$AA$698,0))</f>
        <v>1</v>
      </c>
      <c r="I117" s="6">
        <f>INDEX('[1]RTO Register'!L$2:L$698,MATCH($A117,'[1]RTO Register'!$AA$2:$AA$698,0))</f>
        <v>1</v>
      </c>
      <c r="J117" s="6">
        <f>INDEX('[1]RTO Register'!M$2:M$698,MATCH($A117,'[1]RTO Register'!$AA$2:$AA$698,0))</f>
        <v>1</v>
      </c>
      <c r="K117" s="6">
        <f>INDEX('[1]RTO Register'!N$2:N$698,MATCH($A117,'[1]RTO Register'!$AA$2:$AA$698,0))</f>
        <v>1</v>
      </c>
      <c r="L117" s="6">
        <f>INDEX('[1]RTO Register'!O$2:O$698,MATCH($A117,'[1]RTO Register'!$AA$2:$AA$698,0))</f>
        <v>1</v>
      </c>
      <c r="M117" s="6">
        <f>INDEX('[1]RTO Register'!P$2:P$698,MATCH($A117,'[1]RTO Register'!$AA$2:$AA$698,0))</f>
        <v>1</v>
      </c>
      <c r="N117" s="6">
        <f>INDEX('[1]RTO Register'!Q$2:Q$698,MATCH($A117,'[1]RTO Register'!$AA$2:$AA$698,0))</f>
        <v>1</v>
      </c>
      <c r="O117" s="6">
        <f>INDEX('[1]RTO Register'!R$2:R$698,MATCH($A117,'[1]RTO Register'!$AA$2:$AA$698,0))</f>
        <v>1</v>
      </c>
      <c r="P117" s="6">
        <f>INDEX('[1]RTO Register'!S$2:S$698,MATCH($A117,'[1]RTO Register'!$AA$2:$AA$698,0))</f>
        <v>1</v>
      </c>
      <c r="Q117" s="6">
        <f t="shared" si="3"/>
        <v>1</v>
      </c>
    </row>
    <row r="118" spans="1:17" x14ac:dyDescent="0.25">
      <c r="A118" t="str">
        <v>40489</v>
      </c>
      <c r="B118" t="str">
        <v>Axiom Syndicate Pty Ltd</v>
      </c>
      <c r="C118" t="str">
        <v>Axiom College</v>
      </c>
      <c r="D118" t="str">
        <f>VLOOKUP(A118,'[1]RTO Register'!AA$2:AH615,8,FALSE)</f>
        <v>4064</v>
      </c>
      <c r="E118" s="8" t="s">
        <v>133</v>
      </c>
      <c r="F118" s="1" t="str">
        <f t="shared" si="2"/>
        <v/>
      </c>
      <c r="G118" s="1" t="str">
        <f>IFERROR(IF(INDEX('[1]RTO Register'!AP$2:AP$698,MATCH($A118,'[1]RTO Register'!$AA$2:$AA$698,0))="Yes","School",""),"")</f>
        <v/>
      </c>
      <c r="H118" s="6">
        <f>INDEX('[1]RTO Register'!K$2:K$698,MATCH($A118,'[1]RTO Register'!$AA$2:$AA$698,0))</f>
        <v>1</v>
      </c>
      <c r="I118" s="6">
        <f>INDEX('[1]RTO Register'!L$2:L$698,MATCH($A118,'[1]RTO Register'!$AA$2:$AA$698,0))</f>
        <v>1</v>
      </c>
      <c r="J118" s="6">
        <f>INDEX('[1]RTO Register'!M$2:M$698,MATCH($A118,'[1]RTO Register'!$AA$2:$AA$698,0))</f>
        <v>1</v>
      </c>
      <c r="K118" s="6">
        <f>INDEX('[1]RTO Register'!N$2:N$698,MATCH($A118,'[1]RTO Register'!$AA$2:$AA$698,0))</f>
        <v>1</v>
      </c>
      <c r="L118" s="6">
        <f>INDEX('[1]RTO Register'!O$2:O$698,MATCH($A118,'[1]RTO Register'!$AA$2:$AA$698,0))</f>
        <v>1</v>
      </c>
      <c r="M118" s="6">
        <f>INDEX('[1]RTO Register'!P$2:P$698,MATCH($A118,'[1]RTO Register'!$AA$2:$AA$698,0))</f>
        <v>1</v>
      </c>
      <c r="N118" s="6">
        <f>INDEX('[1]RTO Register'!Q$2:Q$698,MATCH($A118,'[1]RTO Register'!$AA$2:$AA$698,0))</f>
        <v>1</v>
      </c>
      <c r="O118" s="6">
        <f>INDEX('[1]RTO Register'!R$2:R$698,MATCH($A118,'[1]RTO Register'!$AA$2:$AA$698,0))</f>
        <v>1</v>
      </c>
      <c r="P118" s="6">
        <f>INDEX('[1]RTO Register'!S$2:S$698,MATCH($A118,'[1]RTO Register'!$AA$2:$AA$698,0))</f>
        <v>1</v>
      </c>
      <c r="Q118" s="6">
        <f t="shared" si="3"/>
        <v>1</v>
      </c>
    </row>
    <row r="119" spans="1:17" x14ac:dyDescent="0.25">
      <c r="A119" t="str">
        <v>40496</v>
      </c>
      <c r="B119" t="str">
        <v>Pinnacle Height Safety Pty Ltd</v>
      </c>
      <c r="C119" t="str">
        <v>Pinnacle Safety and Training</v>
      </c>
      <c r="D119" t="str">
        <f>VLOOKUP(A119,'[1]RTO Register'!AA$2:AH616,8,FALSE)</f>
        <v>4172</v>
      </c>
      <c r="E119" s="8" t="s">
        <v>134</v>
      </c>
      <c r="F119" s="1" t="str">
        <f t="shared" si="2"/>
        <v/>
      </c>
      <c r="G119" s="1" t="str">
        <f>IFERROR(IF(INDEX('[1]RTO Register'!AP$2:AP$698,MATCH($A119,'[1]RTO Register'!$AA$2:$AA$698,0))="Yes","School",""),"")</f>
        <v/>
      </c>
      <c r="H119" s="6">
        <f>INDEX('[1]RTO Register'!K$2:K$698,MATCH($A119,'[1]RTO Register'!$AA$2:$AA$698,0))</f>
        <v>1</v>
      </c>
      <c r="I119" s="6">
        <f>INDEX('[1]RTO Register'!L$2:L$698,MATCH($A119,'[1]RTO Register'!$AA$2:$AA$698,0))</f>
        <v>1</v>
      </c>
      <c r="J119" s="6">
        <f>INDEX('[1]RTO Register'!M$2:M$698,MATCH($A119,'[1]RTO Register'!$AA$2:$AA$698,0))</f>
        <v>1</v>
      </c>
      <c r="K119" s="6">
        <f>INDEX('[1]RTO Register'!N$2:N$698,MATCH($A119,'[1]RTO Register'!$AA$2:$AA$698,0))</f>
        <v>1</v>
      </c>
      <c r="L119" s="6">
        <f>INDEX('[1]RTO Register'!O$2:O$698,MATCH($A119,'[1]RTO Register'!$AA$2:$AA$698,0))</f>
        <v>1</v>
      </c>
      <c r="M119" s="6">
        <f>INDEX('[1]RTO Register'!P$2:P$698,MATCH($A119,'[1]RTO Register'!$AA$2:$AA$698,0))</f>
        <v>1</v>
      </c>
      <c r="N119" s="6">
        <f>INDEX('[1]RTO Register'!Q$2:Q$698,MATCH($A119,'[1]RTO Register'!$AA$2:$AA$698,0))</f>
        <v>1</v>
      </c>
      <c r="O119" s="6">
        <f>INDEX('[1]RTO Register'!R$2:R$698,MATCH($A119,'[1]RTO Register'!$AA$2:$AA$698,0))</f>
        <v>1</v>
      </c>
      <c r="P119" s="6">
        <f>INDEX('[1]RTO Register'!S$2:S$698,MATCH($A119,'[1]RTO Register'!$AA$2:$AA$698,0))</f>
        <v>1</v>
      </c>
      <c r="Q119" s="6">
        <f t="shared" si="3"/>
        <v>1</v>
      </c>
    </row>
    <row r="120" spans="1:17" x14ac:dyDescent="0.25">
      <c r="A120" t="str">
        <v>40515</v>
      </c>
      <c r="B120" t="str">
        <v>Gold Training Pty Ltd</v>
      </c>
      <c r="C120" t="str">
        <v>Gold Training</v>
      </c>
      <c r="D120" t="str">
        <f>VLOOKUP(A120,'[1]RTO Register'!AA$2:AH617,8,FALSE)</f>
        <v>4575</v>
      </c>
      <c r="E120" s="8" t="s">
        <v>135</v>
      </c>
      <c r="F120" s="1" t="str">
        <f t="shared" si="2"/>
        <v/>
      </c>
      <c r="G120" s="1" t="str">
        <f>IFERROR(IF(INDEX('[1]RTO Register'!AP$2:AP$698,MATCH($A120,'[1]RTO Register'!$AA$2:$AA$698,0))="Yes","School",""),"")</f>
        <v/>
      </c>
      <c r="H120" s="6">
        <f>INDEX('[1]RTO Register'!K$2:K$698,MATCH($A120,'[1]RTO Register'!$AA$2:$AA$698,0))</f>
        <v>1</v>
      </c>
      <c r="I120" s="6">
        <f>INDEX('[1]RTO Register'!L$2:L$698,MATCH($A120,'[1]RTO Register'!$AA$2:$AA$698,0))</f>
        <v>1</v>
      </c>
      <c r="J120" s="6">
        <f>INDEX('[1]RTO Register'!M$2:M$698,MATCH($A120,'[1]RTO Register'!$AA$2:$AA$698,0))</f>
        <v>1</v>
      </c>
      <c r="K120" s="6">
        <f>INDEX('[1]RTO Register'!N$2:N$698,MATCH($A120,'[1]RTO Register'!$AA$2:$AA$698,0))</f>
        <v>1</v>
      </c>
      <c r="L120" s="6">
        <f>INDEX('[1]RTO Register'!O$2:O$698,MATCH($A120,'[1]RTO Register'!$AA$2:$AA$698,0))</f>
        <v>1</v>
      </c>
      <c r="M120" s="6">
        <f>INDEX('[1]RTO Register'!P$2:P$698,MATCH($A120,'[1]RTO Register'!$AA$2:$AA$698,0))</f>
        <v>1</v>
      </c>
      <c r="N120" s="6">
        <f>INDEX('[1]RTO Register'!Q$2:Q$698,MATCH($A120,'[1]RTO Register'!$AA$2:$AA$698,0))</f>
        <v>1</v>
      </c>
      <c r="O120" s="6">
        <f>INDEX('[1]RTO Register'!R$2:R$698,MATCH($A120,'[1]RTO Register'!$AA$2:$AA$698,0))</f>
        <v>1</v>
      </c>
      <c r="P120" s="6">
        <f>INDEX('[1]RTO Register'!S$2:S$698,MATCH($A120,'[1]RTO Register'!$AA$2:$AA$698,0))</f>
        <v>1</v>
      </c>
      <c r="Q120" s="6">
        <f t="shared" si="3"/>
        <v>1</v>
      </c>
    </row>
    <row r="121" spans="1:17" x14ac:dyDescent="0.25">
      <c r="A121" t="str">
        <v>40521</v>
      </c>
      <c r="B121" t="str">
        <v>Harness Energy Services Pty Ltd</v>
      </c>
      <c r="C121" t="str">
        <v>N/A</v>
      </c>
      <c r="D121" t="str">
        <f>VLOOKUP(A121,'[1]RTO Register'!AA$2:AH618,8,FALSE)</f>
        <v>4172</v>
      </c>
      <c r="E121" s="8" t="s">
        <v>136</v>
      </c>
      <c r="F121" s="1" t="str">
        <f t="shared" si="2"/>
        <v/>
      </c>
      <c r="G121" s="1" t="str">
        <f>IFERROR(IF(INDEX('[1]RTO Register'!AP$2:AP$698,MATCH($A121,'[1]RTO Register'!$AA$2:$AA$698,0))="Yes","School",""),"")</f>
        <v/>
      </c>
      <c r="H121" s="6">
        <f>INDEX('[1]RTO Register'!K$2:K$698,MATCH($A121,'[1]RTO Register'!$AA$2:$AA$698,0))</f>
        <v>1</v>
      </c>
      <c r="I121" s="6">
        <f>INDEX('[1]RTO Register'!L$2:L$698,MATCH($A121,'[1]RTO Register'!$AA$2:$AA$698,0))</f>
        <v>1</v>
      </c>
      <c r="J121" s="6">
        <f>INDEX('[1]RTO Register'!M$2:M$698,MATCH($A121,'[1]RTO Register'!$AA$2:$AA$698,0))</f>
        <v>1</v>
      </c>
      <c r="K121" s="6">
        <f>INDEX('[1]RTO Register'!N$2:N$698,MATCH($A121,'[1]RTO Register'!$AA$2:$AA$698,0))</f>
        <v>1</v>
      </c>
      <c r="L121" s="6">
        <f>INDEX('[1]RTO Register'!O$2:O$698,MATCH($A121,'[1]RTO Register'!$AA$2:$AA$698,0))</f>
        <v>1</v>
      </c>
      <c r="M121" s="6">
        <f>INDEX('[1]RTO Register'!P$2:P$698,MATCH($A121,'[1]RTO Register'!$AA$2:$AA$698,0))</f>
        <v>1</v>
      </c>
      <c r="N121" s="6">
        <f>INDEX('[1]RTO Register'!Q$2:Q$698,MATCH($A121,'[1]RTO Register'!$AA$2:$AA$698,0))</f>
        <v>1</v>
      </c>
      <c r="O121" s="6">
        <f>INDEX('[1]RTO Register'!R$2:R$698,MATCH($A121,'[1]RTO Register'!$AA$2:$AA$698,0))</f>
        <v>1</v>
      </c>
      <c r="P121" s="6">
        <f>INDEX('[1]RTO Register'!S$2:S$698,MATCH($A121,'[1]RTO Register'!$AA$2:$AA$698,0))</f>
        <v>1</v>
      </c>
      <c r="Q121" s="6">
        <f t="shared" si="3"/>
        <v>1</v>
      </c>
    </row>
    <row r="122" spans="1:17" x14ac:dyDescent="0.25">
      <c r="A122" t="str">
        <v>40554</v>
      </c>
      <c r="B122" t="str">
        <v>Australasian Training and Education Centre Pty Ltd</v>
      </c>
      <c r="C122" t="str">
        <v>Australasian Training and Education Centre</v>
      </c>
      <c r="D122" t="str">
        <f>VLOOKUP(A122,'[1]RTO Register'!AA$2:AH619,8,FALSE)</f>
        <v>4306</v>
      </c>
      <c r="E122" s="8" t="s">
        <v>137</v>
      </c>
      <c r="F122" s="1" t="str">
        <f t="shared" si="2"/>
        <v/>
      </c>
      <c r="G122" s="1" t="str">
        <f>IFERROR(IF(INDEX('[1]RTO Register'!AP$2:AP$698,MATCH($A122,'[1]RTO Register'!$AA$2:$AA$698,0))="Yes","School",""),"")</f>
        <v/>
      </c>
      <c r="H122" s="6">
        <f>INDEX('[1]RTO Register'!K$2:K$698,MATCH($A122,'[1]RTO Register'!$AA$2:$AA$698,0))</f>
        <v>1</v>
      </c>
      <c r="I122" s="6">
        <f>INDEX('[1]RTO Register'!L$2:L$698,MATCH($A122,'[1]RTO Register'!$AA$2:$AA$698,0))</f>
        <v>1</v>
      </c>
      <c r="J122" s="6">
        <f>INDEX('[1]RTO Register'!M$2:M$698,MATCH($A122,'[1]RTO Register'!$AA$2:$AA$698,0))</f>
        <v>1</v>
      </c>
      <c r="K122" s="6">
        <f>INDEX('[1]RTO Register'!N$2:N$698,MATCH($A122,'[1]RTO Register'!$AA$2:$AA$698,0))</f>
        <v>1</v>
      </c>
      <c r="L122" s="6">
        <f>INDEX('[1]RTO Register'!O$2:O$698,MATCH($A122,'[1]RTO Register'!$AA$2:$AA$698,0))</f>
        <v>1</v>
      </c>
      <c r="M122" s="6">
        <f>INDEX('[1]RTO Register'!P$2:P$698,MATCH($A122,'[1]RTO Register'!$AA$2:$AA$698,0))</f>
        <v>1</v>
      </c>
      <c r="N122" s="6">
        <f>INDEX('[1]RTO Register'!Q$2:Q$698,MATCH($A122,'[1]RTO Register'!$AA$2:$AA$698,0))</f>
        <v>1</v>
      </c>
      <c r="O122" s="6">
        <f>INDEX('[1]RTO Register'!R$2:R$698,MATCH($A122,'[1]RTO Register'!$AA$2:$AA$698,0))</f>
        <v>1</v>
      </c>
      <c r="P122" s="6">
        <f>INDEX('[1]RTO Register'!S$2:S$698,MATCH($A122,'[1]RTO Register'!$AA$2:$AA$698,0))</f>
        <v>1</v>
      </c>
      <c r="Q122" s="6">
        <f t="shared" si="3"/>
        <v>1</v>
      </c>
    </row>
    <row r="123" spans="1:17" x14ac:dyDescent="0.25">
      <c r="A123" t="str">
        <v>40592</v>
      </c>
      <c r="B123" t="str">
        <v>RSA Express Pty Ltd</v>
      </c>
      <c r="C123" t="str">
        <v>Express Online Training</v>
      </c>
      <c r="D123" t="str">
        <f>VLOOKUP(A123,'[1]RTO Register'!AA$2:AH620,8,FALSE)</f>
        <v>2230</v>
      </c>
      <c r="E123" s="8" t="s">
        <v>138</v>
      </c>
      <c r="F123" s="1" t="str">
        <f t="shared" si="2"/>
        <v/>
      </c>
      <c r="G123" s="1" t="str">
        <f>IFERROR(IF(INDEX('[1]RTO Register'!AP$2:AP$698,MATCH($A123,'[1]RTO Register'!$AA$2:$AA$698,0))="Yes","School",""),"")</f>
        <v/>
      </c>
      <c r="H123" s="6">
        <f>INDEX('[1]RTO Register'!K$2:K$698,MATCH($A123,'[1]RTO Register'!$AA$2:$AA$698,0))</f>
        <v>43980</v>
      </c>
      <c r="I123" s="6">
        <f>INDEX('[1]RTO Register'!L$2:L$698,MATCH($A123,'[1]RTO Register'!$AA$2:$AA$698,0))</f>
        <v>43956</v>
      </c>
      <c r="J123" s="6">
        <f>INDEX('[1]RTO Register'!M$2:M$698,MATCH($A123,'[1]RTO Register'!$AA$2:$AA$698,0))</f>
        <v>1</v>
      </c>
      <c r="K123" s="6">
        <f>INDEX('[1]RTO Register'!N$2:N$698,MATCH($A123,'[1]RTO Register'!$AA$2:$AA$698,0))</f>
        <v>1</v>
      </c>
      <c r="L123" s="6">
        <f>INDEX('[1]RTO Register'!O$2:O$698,MATCH($A123,'[1]RTO Register'!$AA$2:$AA$698,0))</f>
        <v>43993</v>
      </c>
      <c r="M123" s="6">
        <f>INDEX('[1]RTO Register'!P$2:P$698,MATCH($A123,'[1]RTO Register'!$AA$2:$AA$698,0))</f>
        <v>1</v>
      </c>
      <c r="N123" s="6">
        <f>INDEX('[1]RTO Register'!Q$2:Q$698,MATCH($A123,'[1]RTO Register'!$AA$2:$AA$698,0))</f>
        <v>1</v>
      </c>
      <c r="O123" s="6">
        <f>INDEX('[1]RTO Register'!R$2:R$698,MATCH($A123,'[1]RTO Register'!$AA$2:$AA$698,0))</f>
        <v>1</v>
      </c>
      <c r="P123" s="6">
        <f>INDEX('[1]RTO Register'!S$2:S$698,MATCH($A123,'[1]RTO Register'!$AA$2:$AA$698,0))</f>
        <v>1</v>
      </c>
      <c r="Q123" s="6">
        <f t="shared" si="3"/>
        <v>43993</v>
      </c>
    </row>
    <row r="124" spans="1:17" x14ac:dyDescent="0.25">
      <c r="A124" t="str">
        <v>40621</v>
      </c>
      <c r="B124" t="str">
        <v>Corrsafe Enterprises Pty Ltd</v>
      </c>
      <c r="C124" t="str">
        <v>Corrsafe</v>
      </c>
      <c r="D124" t="str">
        <f>VLOOKUP(A124,'[1]RTO Register'!AA$2:AH621,8,FALSE)</f>
        <v>4805</v>
      </c>
      <c r="E124" s="8" t="s">
        <v>139</v>
      </c>
      <c r="F124" s="1" t="str">
        <f t="shared" si="2"/>
        <v/>
      </c>
      <c r="G124" s="1" t="str">
        <f>IFERROR(IF(INDEX('[1]RTO Register'!AP$2:AP$698,MATCH($A124,'[1]RTO Register'!$AA$2:$AA$698,0))="Yes","School",""),"")</f>
        <v/>
      </c>
      <c r="H124" s="6">
        <f>INDEX('[1]RTO Register'!K$2:K$698,MATCH($A124,'[1]RTO Register'!$AA$2:$AA$698,0))</f>
        <v>1</v>
      </c>
      <c r="I124" s="6">
        <f>INDEX('[1]RTO Register'!L$2:L$698,MATCH($A124,'[1]RTO Register'!$AA$2:$AA$698,0))</f>
        <v>1</v>
      </c>
      <c r="J124" s="6">
        <f>INDEX('[1]RTO Register'!M$2:M$698,MATCH($A124,'[1]RTO Register'!$AA$2:$AA$698,0))</f>
        <v>1</v>
      </c>
      <c r="K124" s="6">
        <f>INDEX('[1]RTO Register'!N$2:N$698,MATCH($A124,'[1]RTO Register'!$AA$2:$AA$698,0))</f>
        <v>1</v>
      </c>
      <c r="L124" s="6">
        <f>INDEX('[1]RTO Register'!O$2:O$698,MATCH($A124,'[1]RTO Register'!$AA$2:$AA$698,0))</f>
        <v>1</v>
      </c>
      <c r="M124" s="6">
        <f>INDEX('[1]RTO Register'!P$2:P$698,MATCH($A124,'[1]RTO Register'!$AA$2:$AA$698,0))</f>
        <v>1</v>
      </c>
      <c r="N124" s="6">
        <f>INDEX('[1]RTO Register'!Q$2:Q$698,MATCH($A124,'[1]RTO Register'!$AA$2:$AA$698,0))</f>
        <v>1</v>
      </c>
      <c r="O124" s="6">
        <f>INDEX('[1]RTO Register'!R$2:R$698,MATCH($A124,'[1]RTO Register'!$AA$2:$AA$698,0))</f>
        <v>1</v>
      </c>
      <c r="P124" s="6">
        <f>INDEX('[1]RTO Register'!S$2:S$698,MATCH($A124,'[1]RTO Register'!$AA$2:$AA$698,0))</f>
        <v>1</v>
      </c>
      <c r="Q124" s="6">
        <f t="shared" si="3"/>
        <v>1</v>
      </c>
    </row>
    <row r="125" spans="1:17" x14ac:dyDescent="0.25">
      <c r="A125" t="str">
        <v>40681</v>
      </c>
      <c r="B125" t="str">
        <v>Safety &amp; Emergency Training (NQ) Pty Ltd</v>
      </c>
      <c r="C125" t="str">
        <v>N/A</v>
      </c>
      <c r="D125" t="str">
        <f>VLOOKUP(A125,'[1]RTO Register'!AA$2:AH622,8,FALSE)</f>
        <v>4814</v>
      </c>
      <c r="E125" s="8" t="s">
        <v>140</v>
      </c>
      <c r="F125" s="1" t="str">
        <f t="shared" si="2"/>
        <v/>
      </c>
      <c r="G125" s="1" t="str">
        <f>IFERROR(IF(INDEX('[1]RTO Register'!AP$2:AP$698,MATCH($A125,'[1]RTO Register'!$AA$2:$AA$698,0))="Yes","School",""),"")</f>
        <v/>
      </c>
      <c r="H125" s="6">
        <f>INDEX('[1]RTO Register'!K$2:K$698,MATCH($A125,'[1]RTO Register'!$AA$2:$AA$698,0))</f>
        <v>1</v>
      </c>
      <c r="I125" s="6">
        <f>INDEX('[1]RTO Register'!L$2:L$698,MATCH($A125,'[1]RTO Register'!$AA$2:$AA$698,0))</f>
        <v>1</v>
      </c>
      <c r="J125" s="6">
        <f>INDEX('[1]RTO Register'!M$2:M$698,MATCH($A125,'[1]RTO Register'!$AA$2:$AA$698,0))</f>
        <v>1</v>
      </c>
      <c r="K125" s="6">
        <f>INDEX('[1]RTO Register'!N$2:N$698,MATCH($A125,'[1]RTO Register'!$AA$2:$AA$698,0))</f>
        <v>1</v>
      </c>
      <c r="L125" s="6">
        <f>INDEX('[1]RTO Register'!O$2:O$698,MATCH($A125,'[1]RTO Register'!$AA$2:$AA$698,0))</f>
        <v>1</v>
      </c>
      <c r="M125" s="6">
        <f>INDEX('[1]RTO Register'!P$2:P$698,MATCH($A125,'[1]RTO Register'!$AA$2:$AA$698,0))</f>
        <v>1</v>
      </c>
      <c r="N125" s="6">
        <f>INDEX('[1]RTO Register'!Q$2:Q$698,MATCH($A125,'[1]RTO Register'!$AA$2:$AA$698,0))</f>
        <v>1</v>
      </c>
      <c r="O125" s="6">
        <f>INDEX('[1]RTO Register'!R$2:R$698,MATCH($A125,'[1]RTO Register'!$AA$2:$AA$698,0))</f>
        <v>1</v>
      </c>
      <c r="P125" s="6">
        <f>INDEX('[1]RTO Register'!S$2:S$698,MATCH($A125,'[1]RTO Register'!$AA$2:$AA$698,0))</f>
        <v>1</v>
      </c>
      <c r="Q125" s="6">
        <f t="shared" si="3"/>
        <v>1</v>
      </c>
    </row>
    <row r="126" spans="1:17" x14ac:dyDescent="0.25">
      <c r="A126" t="str">
        <v>40727</v>
      </c>
      <c r="B126" t="str">
        <v>MinRes Training Institute Pty Ltd</v>
      </c>
      <c r="C126" t="str">
        <v>N/A</v>
      </c>
      <c r="D126" t="str">
        <f>VLOOKUP(A126,'[1]RTO Register'!AA$2:AH623,8,FALSE)</f>
        <v>4055</v>
      </c>
      <c r="E126" s="8" t="s">
        <v>141</v>
      </c>
      <c r="F126" s="1" t="str">
        <f t="shared" si="2"/>
        <v/>
      </c>
      <c r="G126" s="1" t="str">
        <f>IFERROR(IF(INDEX('[1]RTO Register'!AP$2:AP$698,MATCH($A126,'[1]RTO Register'!$AA$2:$AA$698,0))="Yes","School",""),"")</f>
        <v/>
      </c>
      <c r="H126" s="6">
        <f>INDEX('[1]RTO Register'!K$2:K$698,MATCH($A126,'[1]RTO Register'!$AA$2:$AA$698,0))</f>
        <v>1</v>
      </c>
      <c r="I126" s="6">
        <f>INDEX('[1]RTO Register'!L$2:L$698,MATCH($A126,'[1]RTO Register'!$AA$2:$AA$698,0))</f>
        <v>1</v>
      </c>
      <c r="J126" s="6">
        <f>INDEX('[1]RTO Register'!M$2:M$698,MATCH($A126,'[1]RTO Register'!$AA$2:$AA$698,0))</f>
        <v>1</v>
      </c>
      <c r="K126" s="6">
        <f>INDEX('[1]RTO Register'!N$2:N$698,MATCH($A126,'[1]RTO Register'!$AA$2:$AA$698,0))</f>
        <v>1</v>
      </c>
      <c r="L126" s="6">
        <f>INDEX('[1]RTO Register'!O$2:O$698,MATCH($A126,'[1]RTO Register'!$AA$2:$AA$698,0))</f>
        <v>1</v>
      </c>
      <c r="M126" s="6">
        <f>INDEX('[1]RTO Register'!P$2:P$698,MATCH($A126,'[1]RTO Register'!$AA$2:$AA$698,0))</f>
        <v>1</v>
      </c>
      <c r="N126" s="6">
        <f>INDEX('[1]RTO Register'!Q$2:Q$698,MATCH($A126,'[1]RTO Register'!$AA$2:$AA$698,0))</f>
        <v>1</v>
      </c>
      <c r="O126" s="6">
        <f>INDEX('[1]RTO Register'!R$2:R$698,MATCH($A126,'[1]RTO Register'!$AA$2:$AA$698,0))</f>
        <v>1</v>
      </c>
      <c r="P126" s="6">
        <f>INDEX('[1]RTO Register'!S$2:S$698,MATCH($A126,'[1]RTO Register'!$AA$2:$AA$698,0))</f>
        <v>1</v>
      </c>
      <c r="Q126" s="6">
        <f t="shared" si="3"/>
        <v>1</v>
      </c>
    </row>
    <row r="127" spans="1:17" x14ac:dyDescent="0.25">
      <c r="A127" t="str">
        <v>40739</v>
      </c>
      <c r="B127" t="str">
        <v>Thoughtplanters (Australia) Pty Ltd</v>
      </c>
      <c r="C127" t="str">
        <v>N/A</v>
      </c>
      <c r="D127" t="str">
        <f>VLOOKUP(A127,'[1]RTO Register'!AA$2:AH624,8,FALSE)</f>
        <v>2010</v>
      </c>
      <c r="E127" s="8" t="s">
        <v>142</v>
      </c>
      <c r="F127" s="1" t="str">
        <f t="shared" si="2"/>
        <v/>
      </c>
      <c r="G127" s="1" t="str">
        <f>IFERROR(IF(INDEX('[1]RTO Register'!AP$2:AP$698,MATCH($A127,'[1]RTO Register'!$AA$2:$AA$698,0))="Yes","School",""),"")</f>
        <v/>
      </c>
      <c r="H127" s="6">
        <f>INDEX('[1]RTO Register'!K$2:K$698,MATCH($A127,'[1]RTO Register'!$AA$2:$AA$698,0))</f>
        <v>1</v>
      </c>
      <c r="I127" s="6">
        <f>INDEX('[1]RTO Register'!L$2:L$698,MATCH($A127,'[1]RTO Register'!$AA$2:$AA$698,0))</f>
        <v>1</v>
      </c>
      <c r="J127" s="6">
        <f>INDEX('[1]RTO Register'!M$2:M$698,MATCH($A127,'[1]RTO Register'!$AA$2:$AA$698,0))</f>
        <v>1</v>
      </c>
      <c r="K127" s="6">
        <f>INDEX('[1]RTO Register'!N$2:N$698,MATCH($A127,'[1]RTO Register'!$AA$2:$AA$698,0))</f>
        <v>1</v>
      </c>
      <c r="L127" s="6">
        <f>INDEX('[1]RTO Register'!O$2:O$698,MATCH($A127,'[1]RTO Register'!$AA$2:$AA$698,0))</f>
        <v>1</v>
      </c>
      <c r="M127" s="6">
        <f>INDEX('[1]RTO Register'!P$2:P$698,MATCH($A127,'[1]RTO Register'!$AA$2:$AA$698,0))</f>
        <v>1</v>
      </c>
      <c r="N127" s="6">
        <f>INDEX('[1]RTO Register'!Q$2:Q$698,MATCH($A127,'[1]RTO Register'!$AA$2:$AA$698,0))</f>
        <v>1</v>
      </c>
      <c r="O127" s="6">
        <f>INDEX('[1]RTO Register'!R$2:R$698,MATCH($A127,'[1]RTO Register'!$AA$2:$AA$698,0))</f>
        <v>1</v>
      </c>
      <c r="P127" s="6">
        <f>INDEX('[1]RTO Register'!S$2:S$698,MATCH($A127,'[1]RTO Register'!$AA$2:$AA$698,0))</f>
        <v>1</v>
      </c>
      <c r="Q127" s="6">
        <f t="shared" si="3"/>
        <v>1</v>
      </c>
    </row>
    <row r="128" spans="1:17" x14ac:dyDescent="0.25">
      <c r="A128" t="str">
        <v>40772</v>
      </c>
      <c r="B128" t="str">
        <v>Australian Institute of Resources Training Pty Ltd</v>
      </c>
      <c r="C128" t="str">
        <v xml:space="preserve">  Host Safety and Training</v>
      </c>
      <c r="D128" t="str">
        <f>VLOOKUP(A128,'[1]RTO Register'!AA$2:AH625,8,FALSE)</f>
        <v>4551</v>
      </c>
      <c r="E128" s="8" t="s">
        <v>143</v>
      </c>
      <c r="F128" s="1" t="str">
        <f t="shared" si="2"/>
        <v/>
      </c>
      <c r="G128" s="1" t="str">
        <f>IFERROR(IF(INDEX('[1]RTO Register'!AP$2:AP$698,MATCH($A128,'[1]RTO Register'!$AA$2:$AA$698,0))="Yes","School",""),"")</f>
        <v/>
      </c>
      <c r="H128" s="6">
        <f>INDEX('[1]RTO Register'!K$2:K$698,MATCH($A128,'[1]RTO Register'!$AA$2:$AA$698,0))</f>
        <v>1</v>
      </c>
      <c r="I128" s="6">
        <f>INDEX('[1]RTO Register'!L$2:L$698,MATCH($A128,'[1]RTO Register'!$AA$2:$AA$698,0))</f>
        <v>1</v>
      </c>
      <c r="J128" s="6">
        <f>INDEX('[1]RTO Register'!M$2:M$698,MATCH($A128,'[1]RTO Register'!$AA$2:$AA$698,0))</f>
        <v>1</v>
      </c>
      <c r="K128" s="6">
        <f>INDEX('[1]RTO Register'!N$2:N$698,MATCH($A128,'[1]RTO Register'!$AA$2:$AA$698,0))</f>
        <v>1</v>
      </c>
      <c r="L128" s="6">
        <f>INDEX('[1]RTO Register'!O$2:O$698,MATCH($A128,'[1]RTO Register'!$AA$2:$AA$698,0))</f>
        <v>1</v>
      </c>
      <c r="M128" s="6">
        <f>INDEX('[1]RTO Register'!P$2:P$698,MATCH($A128,'[1]RTO Register'!$AA$2:$AA$698,0))</f>
        <v>1</v>
      </c>
      <c r="N128" s="6">
        <f>INDEX('[1]RTO Register'!Q$2:Q$698,MATCH($A128,'[1]RTO Register'!$AA$2:$AA$698,0))</f>
        <v>1</v>
      </c>
      <c r="O128" s="6">
        <f>INDEX('[1]RTO Register'!R$2:R$698,MATCH($A128,'[1]RTO Register'!$AA$2:$AA$698,0))</f>
        <v>1</v>
      </c>
      <c r="P128" s="6">
        <f>INDEX('[1]RTO Register'!S$2:S$698,MATCH($A128,'[1]RTO Register'!$AA$2:$AA$698,0))</f>
        <v>1</v>
      </c>
      <c r="Q128" s="6">
        <f t="shared" si="3"/>
        <v>1</v>
      </c>
    </row>
    <row r="129" spans="1:17" x14ac:dyDescent="0.25">
      <c r="A129" t="str">
        <v>40785</v>
      </c>
      <c r="B129" t="str">
        <v>Building Industry Training Pty. Ltd.</v>
      </c>
      <c r="C129" t="str">
        <v>Building Industry Training Pty Ltd</v>
      </c>
      <c r="D129" t="str">
        <f>VLOOKUP(A129,'[1]RTO Register'!AA$2:AH626,8,FALSE)</f>
        <v>4214</v>
      </c>
      <c r="E129" s="8" t="s">
        <v>144</v>
      </c>
      <c r="F129" s="1" t="str">
        <f t="shared" si="2"/>
        <v/>
      </c>
      <c r="G129" s="1" t="str">
        <f>IFERROR(IF(INDEX('[1]RTO Register'!AP$2:AP$698,MATCH($A129,'[1]RTO Register'!$AA$2:$AA$698,0))="Yes","School",""),"")</f>
        <v/>
      </c>
      <c r="H129" s="6">
        <f>INDEX('[1]RTO Register'!K$2:K$698,MATCH($A129,'[1]RTO Register'!$AA$2:$AA$698,0))</f>
        <v>1</v>
      </c>
      <c r="I129" s="6">
        <f>INDEX('[1]RTO Register'!L$2:L$698,MATCH($A129,'[1]RTO Register'!$AA$2:$AA$698,0))</f>
        <v>1</v>
      </c>
      <c r="J129" s="6">
        <f>INDEX('[1]RTO Register'!M$2:M$698,MATCH($A129,'[1]RTO Register'!$AA$2:$AA$698,0))</f>
        <v>1</v>
      </c>
      <c r="K129" s="6">
        <f>INDEX('[1]RTO Register'!N$2:N$698,MATCH($A129,'[1]RTO Register'!$AA$2:$AA$698,0))</f>
        <v>1</v>
      </c>
      <c r="L129" s="6">
        <f>INDEX('[1]RTO Register'!O$2:O$698,MATCH($A129,'[1]RTO Register'!$AA$2:$AA$698,0))</f>
        <v>1</v>
      </c>
      <c r="M129" s="6">
        <f>INDEX('[1]RTO Register'!P$2:P$698,MATCH($A129,'[1]RTO Register'!$AA$2:$AA$698,0))</f>
        <v>1</v>
      </c>
      <c r="N129" s="6">
        <f>INDEX('[1]RTO Register'!Q$2:Q$698,MATCH($A129,'[1]RTO Register'!$AA$2:$AA$698,0))</f>
        <v>1</v>
      </c>
      <c r="O129" s="6">
        <f>INDEX('[1]RTO Register'!R$2:R$698,MATCH($A129,'[1]RTO Register'!$AA$2:$AA$698,0))</f>
        <v>1</v>
      </c>
      <c r="P129" s="6">
        <f>INDEX('[1]RTO Register'!S$2:S$698,MATCH($A129,'[1]RTO Register'!$AA$2:$AA$698,0))</f>
        <v>1</v>
      </c>
      <c r="Q129" s="6">
        <f t="shared" si="3"/>
        <v>1</v>
      </c>
    </row>
    <row r="130" spans="1:17" x14ac:dyDescent="0.25">
      <c r="A130" t="str">
        <v>40817</v>
      </c>
      <c r="B130" t="str">
        <v>C E Finucan and G J Pershouse</v>
      </c>
      <c r="C130" t="str">
        <v>Pro- Lift Training and Assessment Services</v>
      </c>
      <c r="D130" t="str">
        <f>VLOOKUP(A130,'[1]RTO Register'!AA$2:AH627,8,FALSE)</f>
        <v>4740</v>
      </c>
      <c r="E130" s="8" t="s">
        <v>145</v>
      </c>
      <c r="F130" s="1" t="str">
        <f t="shared" si="2"/>
        <v/>
      </c>
      <c r="G130" s="1" t="str">
        <f>IFERROR(IF(INDEX('[1]RTO Register'!AP$2:AP$698,MATCH($A130,'[1]RTO Register'!$AA$2:$AA$698,0))="Yes","School",""),"")</f>
        <v/>
      </c>
      <c r="H130" s="6">
        <f>INDEX('[1]RTO Register'!K$2:K$698,MATCH($A130,'[1]RTO Register'!$AA$2:$AA$698,0))</f>
        <v>1</v>
      </c>
      <c r="I130" s="6">
        <f>INDEX('[1]RTO Register'!L$2:L$698,MATCH($A130,'[1]RTO Register'!$AA$2:$AA$698,0))</f>
        <v>1</v>
      </c>
      <c r="J130" s="6">
        <f>INDEX('[1]RTO Register'!M$2:M$698,MATCH($A130,'[1]RTO Register'!$AA$2:$AA$698,0))</f>
        <v>1</v>
      </c>
      <c r="K130" s="6">
        <f>INDEX('[1]RTO Register'!N$2:N$698,MATCH($A130,'[1]RTO Register'!$AA$2:$AA$698,0))</f>
        <v>1</v>
      </c>
      <c r="L130" s="6">
        <f>INDEX('[1]RTO Register'!O$2:O$698,MATCH($A130,'[1]RTO Register'!$AA$2:$AA$698,0))</f>
        <v>1</v>
      </c>
      <c r="M130" s="6">
        <f>INDEX('[1]RTO Register'!P$2:P$698,MATCH($A130,'[1]RTO Register'!$AA$2:$AA$698,0))</f>
        <v>1</v>
      </c>
      <c r="N130" s="6">
        <f>INDEX('[1]RTO Register'!Q$2:Q$698,MATCH($A130,'[1]RTO Register'!$AA$2:$AA$698,0))</f>
        <v>1</v>
      </c>
      <c r="O130" s="6">
        <f>INDEX('[1]RTO Register'!R$2:R$698,MATCH($A130,'[1]RTO Register'!$AA$2:$AA$698,0))</f>
        <v>1</v>
      </c>
      <c r="P130" s="6">
        <f>INDEX('[1]RTO Register'!S$2:S$698,MATCH($A130,'[1]RTO Register'!$AA$2:$AA$698,0))</f>
        <v>1</v>
      </c>
      <c r="Q130" s="6">
        <f t="shared" si="3"/>
        <v>1</v>
      </c>
    </row>
    <row r="131" spans="1:17" x14ac:dyDescent="0.25">
      <c r="A131" t="str">
        <v>40840</v>
      </c>
      <c r="B131" t="str">
        <v>Abrahamson Holdings Pty Ltd as Trustee for the Abrahamson Family Trust</v>
      </c>
      <c r="C131" t="str">
        <v>Upskills QLD</v>
      </c>
      <c r="D131" t="str">
        <f>VLOOKUP(A131,'[1]RTO Register'!AA$2:AH628,8,FALSE)</f>
        <v>4021</v>
      </c>
      <c r="E131" s="8" t="s">
        <v>146</v>
      </c>
      <c r="F131" s="1" t="str">
        <f t="shared" si="2"/>
        <v/>
      </c>
      <c r="G131" s="1" t="str">
        <f>IFERROR(IF(INDEX('[1]RTO Register'!AP$2:AP$698,MATCH($A131,'[1]RTO Register'!$AA$2:$AA$698,0))="Yes","School",""),"")</f>
        <v/>
      </c>
      <c r="H131" s="6">
        <f>INDEX('[1]RTO Register'!K$2:K$698,MATCH($A131,'[1]RTO Register'!$AA$2:$AA$698,0))</f>
        <v>1</v>
      </c>
      <c r="I131" s="6">
        <f>INDEX('[1]RTO Register'!L$2:L$698,MATCH($A131,'[1]RTO Register'!$AA$2:$AA$698,0))</f>
        <v>1</v>
      </c>
      <c r="J131" s="6">
        <f>INDEX('[1]RTO Register'!M$2:M$698,MATCH($A131,'[1]RTO Register'!$AA$2:$AA$698,0))</f>
        <v>1</v>
      </c>
      <c r="K131" s="6">
        <f>INDEX('[1]RTO Register'!N$2:N$698,MATCH($A131,'[1]RTO Register'!$AA$2:$AA$698,0))</f>
        <v>1</v>
      </c>
      <c r="L131" s="6">
        <f>INDEX('[1]RTO Register'!O$2:O$698,MATCH($A131,'[1]RTO Register'!$AA$2:$AA$698,0))</f>
        <v>1</v>
      </c>
      <c r="M131" s="6">
        <f>INDEX('[1]RTO Register'!P$2:P$698,MATCH($A131,'[1]RTO Register'!$AA$2:$AA$698,0))</f>
        <v>1</v>
      </c>
      <c r="N131" s="6">
        <f>INDEX('[1]RTO Register'!Q$2:Q$698,MATCH($A131,'[1]RTO Register'!$AA$2:$AA$698,0))</f>
        <v>1</v>
      </c>
      <c r="O131" s="6">
        <f>INDEX('[1]RTO Register'!R$2:R$698,MATCH($A131,'[1]RTO Register'!$AA$2:$AA$698,0))</f>
        <v>1</v>
      </c>
      <c r="P131" s="6">
        <f>INDEX('[1]RTO Register'!S$2:S$698,MATCH($A131,'[1]RTO Register'!$AA$2:$AA$698,0))</f>
        <v>1</v>
      </c>
      <c r="Q131" s="6">
        <f t="shared" si="3"/>
        <v>1</v>
      </c>
    </row>
    <row r="132" spans="1:17" x14ac:dyDescent="0.25">
      <c r="A132" t="str">
        <v>40871</v>
      </c>
      <c r="B132" t="str">
        <v>GL Training Pty Ltd</v>
      </c>
      <c r="C132" t="str">
        <v>N/A</v>
      </c>
      <c r="D132" t="str">
        <f>VLOOKUP(A132,'[1]RTO Register'!AA$2:AH629,8,FALSE)</f>
        <v>4211</v>
      </c>
      <c r="E132" s="8" t="s">
        <v>147</v>
      </c>
      <c r="F132" s="1" t="str">
        <f t="shared" ref="F132:F195" si="4">IFERROR(IF(R132=$L$2,"CRTD approved",""),"")</f>
        <v/>
      </c>
      <c r="G132" s="1" t="str">
        <f>IFERROR(IF(INDEX('[1]RTO Register'!AP$2:AP$698,MATCH($A132,'[1]RTO Register'!$AA$2:$AA$698,0))="Yes","School",""),"")</f>
        <v/>
      </c>
      <c r="H132" s="6">
        <f>INDEX('[1]RTO Register'!K$2:K$698,MATCH($A132,'[1]RTO Register'!$AA$2:$AA$698,0))</f>
        <v>1</v>
      </c>
      <c r="I132" s="6">
        <f>INDEX('[1]RTO Register'!L$2:L$698,MATCH($A132,'[1]RTO Register'!$AA$2:$AA$698,0))</f>
        <v>1</v>
      </c>
      <c r="J132" s="6">
        <f>INDEX('[1]RTO Register'!M$2:M$698,MATCH($A132,'[1]RTO Register'!$AA$2:$AA$698,0))</f>
        <v>1</v>
      </c>
      <c r="K132" s="6">
        <f>INDEX('[1]RTO Register'!N$2:N$698,MATCH($A132,'[1]RTO Register'!$AA$2:$AA$698,0))</f>
        <v>1</v>
      </c>
      <c r="L132" s="6">
        <f>INDEX('[1]RTO Register'!O$2:O$698,MATCH($A132,'[1]RTO Register'!$AA$2:$AA$698,0))</f>
        <v>1</v>
      </c>
      <c r="M132" s="6">
        <f>INDEX('[1]RTO Register'!P$2:P$698,MATCH($A132,'[1]RTO Register'!$AA$2:$AA$698,0))</f>
        <v>1</v>
      </c>
      <c r="N132" s="6">
        <f>INDEX('[1]RTO Register'!Q$2:Q$698,MATCH($A132,'[1]RTO Register'!$AA$2:$AA$698,0))</f>
        <v>1</v>
      </c>
      <c r="O132" s="6">
        <f>INDEX('[1]RTO Register'!R$2:R$698,MATCH($A132,'[1]RTO Register'!$AA$2:$AA$698,0))</f>
        <v>1</v>
      </c>
      <c r="P132" s="6">
        <f>INDEX('[1]RTO Register'!S$2:S$698,MATCH($A132,'[1]RTO Register'!$AA$2:$AA$698,0))</f>
        <v>1</v>
      </c>
      <c r="Q132" s="6">
        <f t="shared" ref="Q132:Q195" si="5">MAX(H132:P132)</f>
        <v>1</v>
      </c>
    </row>
    <row r="133" spans="1:17" x14ac:dyDescent="0.25">
      <c r="A133" t="str">
        <v>40889</v>
      </c>
      <c r="B133" t="str">
        <v>TECTRA Australia Pty Ltd</v>
      </c>
      <c r="C133" t="str">
        <v>N/A</v>
      </c>
      <c r="D133" t="str">
        <f>VLOOKUP(A133,'[1]RTO Register'!AA$2:AH630,8,FALSE)</f>
        <v>4575</v>
      </c>
      <c r="E133" s="8" t="s">
        <v>148</v>
      </c>
      <c r="F133" s="1" t="str">
        <f t="shared" si="4"/>
        <v/>
      </c>
      <c r="G133" s="1" t="str">
        <f>IFERROR(IF(INDEX('[1]RTO Register'!AP$2:AP$698,MATCH($A133,'[1]RTO Register'!$AA$2:$AA$698,0))="Yes","School",""),"")</f>
        <v/>
      </c>
      <c r="H133" s="6">
        <f>INDEX('[1]RTO Register'!K$2:K$698,MATCH($A133,'[1]RTO Register'!$AA$2:$AA$698,0))</f>
        <v>1</v>
      </c>
      <c r="I133" s="6">
        <f>INDEX('[1]RTO Register'!L$2:L$698,MATCH($A133,'[1]RTO Register'!$AA$2:$AA$698,0))</f>
        <v>1</v>
      </c>
      <c r="J133" s="6">
        <f>INDEX('[1]RTO Register'!M$2:M$698,MATCH($A133,'[1]RTO Register'!$AA$2:$AA$698,0))</f>
        <v>1</v>
      </c>
      <c r="K133" s="6">
        <f>INDEX('[1]RTO Register'!N$2:N$698,MATCH($A133,'[1]RTO Register'!$AA$2:$AA$698,0))</f>
        <v>1</v>
      </c>
      <c r="L133" s="6">
        <f>INDEX('[1]RTO Register'!O$2:O$698,MATCH($A133,'[1]RTO Register'!$AA$2:$AA$698,0))</f>
        <v>1</v>
      </c>
      <c r="M133" s="6">
        <f>INDEX('[1]RTO Register'!P$2:P$698,MATCH($A133,'[1]RTO Register'!$AA$2:$AA$698,0))</f>
        <v>1</v>
      </c>
      <c r="N133" s="6">
        <f>INDEX('[1]RTO Register'!Q$2:Q$698,MATCH($A133,'[1]RTO Register'!$AA$2:$AA$698,0))</f>
        <v>1</v>
      </c>
      <c r="O133" s="6">
        <f>INDEX('[1]RTO Register'!R$2:R$698,MATCH($A133,'[1]RTO Register'!$AA$2:$AA$698,0))</f>
        <v>1</v>
      </c>
      <c r="P133" s="6">
        <f>INDEX('[1]RTO Register'!S$2:S$698,MATCH($A133,'[1]RTO Register'!$AA$2:$AA$698,0))</f>
        <v>1</v>
      </c>
      <c r="Q133" s="6">
        <f t="shared" si="5"/>
        <v>1</v>
      </c>
    </row>
    <row r="134" spans="1:17" x14ac:dyDescent="0.25">
      <c r="A134" t="str">
        <v>40905</v>
      </c>
      <c r="B134" t="str">
        <v>Acquired Awareness Training Centre Pty Ltd</v>
      </c>
      <c r="C134" t="str">
        <v>N/A</v>
      </c>
      <c r="D134" t="str">
        <f>VLOOKUP(A134,'[1]RTO Register'!AA$2:AH631,8,FALSE)</f>
        <v>4500</v>
      </c>
      <c r="E134" s="8" t="s">
        <v>149</v>
      </c>
      <c r="F134" s="1" t="str">
        <f t="shared" si="4"/>
        <v/>
      </c>
      <c r="G134" s="1" t="str">
        <f>IFERROR(IF(INDEX('[1]RTO Register'!AP$2:AP$698,MATCH($A134,'[1]RTO Register'!$AA$2:$AA$698,0))="Yes","School",""),"")</f>
        <v/>
      </c>
      <c r="H134" s="6">
        <f>INDEX('[1]RTO Register'!K$2:K$698,MATCH($A134,'[1]RTO Register'!$AA$2:$AA$698,0))</f>
        <v>1</v>
      </c>
      <c r="I134" s="6">
        <f>INDEX('[1]RTO Register'!L$2:L$698,MATCH($A134,'[1]RTO Register'!$AA$2:$AA$698,0))</f>
        <v>1</v>
      </c>
      <c r="J134" s="6">
        <f>INDEX('[1]RTO Register'!M$2:M$698,MATCH($A134,'[1]RTO Register'!$AA$2:$AA$698,0))</f>
        <v>1</v>
      </c>
      <c r="K134" s="6">
        <f>INDEX('[1]RTO Register'!N$2:N$698,MATCH($A134,'[1]RTO Register'!$AA$2:$AA$698,0))</f>
        <v>1</v>
      </c>
      <c r="L134" s="6">
        <f>INDEX('[1]RTO Register'!O$2:O$698,MATCH($A134,'[1]RTO Register'!$AA$2:$AA$698,0))</f>
        <v>1</v>
      </c>
      <c r="M134" s="6">
        <f>INDEX('[1]RTO Register'!P$2:P$698,MATCH($A134,'[1]RTO Register'!$AA$2:$AA$698,0))</f>
        <v>1</v>
      </c>
      <c r="N134" s="6">
        <f>INDEX('[1]RTO Register'!Q$2:Q$698,MATCH($A134,'[1]RTO Register'!$AA$2:$AA$698,0))</f>
        <v>1</v>
      </c>
      <c r="O134" s="6">
        <f>INDEX('[1]RTO Register'!R$2:R$698,MATCH($A134,'[1]RTO Register'!$AA$2:$AA$698,0))</f>
        <v>1</v>
      </c>
      <c r="P134" s="6">
        <f>INDEX('[1]RTO Register'!S$2:S$698,MATCH($A134,'[1]RTO Register'!$AA$2:$AA$698,0))</f>
        <v>1</v>
      </c>
      <c r="Q134" s="6">
        <f t="shared" si="5"/>
        <v>1</v>
      </c>
    </row>
    <row r="135" spans="1:17" x14ac:dyDescent="0.25">
      <c r="A135" t="str">
        <v>40907</v>
      </c>
      <c r="B135" t="str">
        <v>Health Security &amp; Education Pty Ltd as trustee for Health Security &amp; Education Unit Trust</v>
      </c>
      <c r="C135" t="str">
        <v>N/A</v>
      </c>
      <c r="D135" t="str">
        <f>VLOOKUP(A135,'[1]RTO Register'!AA$2:AH632,8,FALSE)</f>
        <v>4307</v>
      </c>
      <c r="E135" s="8" t="s">
        <v>150</v>
      </c>
      <c r="F135" s="1" t="str">
        <f t="shared" si="4"/>
        <v/>
      </c>
      <c r="G135" s="1" t="str">
        <f>IFERROR(IF(INDEX('[1]RTO Register'!AP$2:AP$698,MATCH($A135,'[1]RTO Register'!$AA$2:$AA$698,0))="Yes","School",""),"")</f>
        <v/>
      </c>
      <c r="H135" s="6">
        <f>INDEX('[1]RTO Register'!K$2:K$698,MATCH($A135,'[1]RTO Register'!$AA$2:$AA$698,0))</f>
        <v>1</v>
      </c>
      <c r="I135" s="6">
        <f>INDEX('[1]RTO Register'!L$2:L$698,MATCH($A135,'[1]RTO Register'!$AA$2:$AA$698,0))</f>
        <v>1</v>
      </c>
      <c r="J135" s="6">
        <f>INDEX('[1]RTO Register'!M$2:M$698,MATCH($A135,'[1]RTO Register'!$AA$2:$AA$698,0))</f>
        <v>1</v>
      </c>
      <c r="K135" s="6">
        <f>INDEX('[1]RTO Register'!N$2:N$698,MATCH($A135,'[1]RTO Register'!$AA$2:$AA$698,0))</f>
        <v>1</v>
      </c>
      <c r="L135" s="6">
        <f>INDEX('[1]RTO Register'!O$2:O$698,MATCH($A135,'[1]RTO Register'!$AA$2:$AA$698,0))</f>
        <v>1</v>
      </c>
      <c r="M135" s="6">
        <f>INDEX('[1]RTO Register'!P$2:P$698,MATCH($A135,'[1]RTO Register'!$AA$2:$AA$698,0))</f>
        <v>1</v>
      </c>
      <c r="N135" s="6">
        <f>INDEX('[1]RTO Register'!Q$2:Q$698,MATCH($A135,'[1]RTO Register'!$AA$2:$AA$698,0))</f>
        <v>1</v>
      </c>
      <c r="O135" s="6">
        <f>INDEX('[1]RTO Register'!R$2:R$698,MATCH($A135,'[1]RTO Register'!$AA$2:$AA$698,0))</f>
        <v>1</v>
      </c>
      <c r="P135" s="6">
        <f>INDEX('[1]RTO Register'!S$2:S$698,MATCH($A135,'[1]RTO Register'!$AA$2:$AA$698,0))</f>
        <v>1</v>
      </c>
      <c r="Q135" s="6">
        <f t="shared" si="5"/>
        <v>1</v>
      </c>
    </row>
    <row r="136" spans="1:17" x14ac:dyDescent="0.25">
      <c r="A136" t="str">
        <v>40914</v>
      </c>
      <c r="B136" t="str">
        <v>Spice Training Pty Ltd</v>
      </c>
      <c r="C136" t="str">
        <v>N/A</v>
      </c>
      <c r="D136" t="str">
        <f>VLOOKUP(A136,'[1]RTO Register'!AA$2:AH633,8,FALSE)</f>
        <v>4000</v>
      </c>
      <c r="E136" s="8" t="s">
        <v>151</v>
      </c>
      <c r="F136" s="1" t="str">
        <f t="shared" si="4"/>
        <v/>
      </c>
      <c r="G136" s="1" t="str">
        <f>IFERROR(IF(INDEX('[1]RTO Register'!AP$2:AP$698,MATCH($A136,'[1]RTO Register'!$AA$2:$AA$698,0))="Yes","School",""),"")</f>
        <v/>
      </c>
      <c r="H136" s="6">
        <f>INDEX('[1]RTO Register'!K$2:K$698,MATCH($A136,'[1]RTO Register'!$AA$2:$AA$698,0))</f>
        <v>1</v>
      </c>
      <c r="I136" s="6">
        <f>INDEX('[1]RTO Register'!L$2:L$698,MATCH($A136,'[1]RTO Register'!$AA$2:$AA$698,0))</f>
        <v>1</v>
      </c>
      <c r="J136" s="6">
        <f>INDEX('[1]RTO Register'!M$2:M$698,MATCH($A136,'[1]RTO Register'!$AA$2:$AA$698,0))</f>
        <v>1</v>
      </c>
      <c r="K136" s="6">
        <f>INDEX('[1]RTO Register'!N$2:N$698,MATCH($A136,'[1]RTO Register'!$AA$2:$AA$698,0))</f>
        <v>1</v>
      </c>
      <c r="L136" s="6">
        <f>INDEX('[1]RTO Register'!O$2:O$698,MATCH($A136,'[1]RTO Register'!$AA$2:$AA$698,0))</f>
        <v>1</v>
      </c>
      <c r="M136" s="6">
        <f>INDEX('[1]RTO Register'!P$2:P$698,MATCH($A136,'[1]RTO Register'!$AA$2:$AA$698,0))</f>
        <v>1</v>
      </c>
      <c r="N136" s="6">
        <f>INDEX('[1]RTO Register'!Q$2:Q$698,MATCH($A136,'[1]RTO Register'!$AA$2:$AA$698,0))</f>
        <v>1</v>
      </c>
      <c r="O136" s="6">
        <f>INDEX('[1]RTO Register'!R$2:R$698,MATCH($A136,'[1]RTO Register'!$AA$2:$AA$698,0))</f>
        <v>1</v>
      </c>
      <c r="P136" s="6">
        <f>INDEX('[1]RTO Register'!S$2:S$698,MATCH($A136,'[1]RTO Register'!$AA$2:$AA$698,0))</f>
        <v>1</v>
      </c>
      <c r="Q136" s="6">
        <f t="shared" si="5"/>
        <v>1</v>
      </c>
    </row>
    <row r="137" spans="1:17" x14ac:dyDescent="0.25">
      <c r="A137" t="str">
        <v>40926</v>
      </c>
      <c r="B137" t="str">
        <v>Inscope Training Pty Ltd</v>
      </c>
      <c r="C137" t="str">
        <v>N/A</v>
      </c>
      <c r="D137" t="str">
        <f>VLOOKUP(A137,'[1]RTO Register'!AA$2:AH634,8,FALSE)</f>
        <v>4157</v>
      </c>
      <c r="E137" s="8" t="s">
        <v>152</v>
      </c>
      <c r="F137" s="1" t="str">
        <f t="shared" si="4"/>
        <v/>
      </c>
      <c r="G137" s="1" t="str">
        <f>IFERROR(IF(INDEX('[1]RTO Register'!AP$2:AP$698,MATCH($A137,'[1]RTO Register'!$AA$2:$AA$698,0))="Yes","School",""),"")</f>
        <v/>
      </c>
      <c r="H137" s="6">
        <f>INDEX('[1]RTO Register'!K$2:K$698,MATCH($A137,'[1]RTO Register'!$AA$2:$AA$698,0))</f>
        <v>44484</v>
      </c>
      <c r="I137" s="6">
        <f>INDEX('[1]RTO Register'!L$2:L$698,MATCH($A137,'[1]RTO Register'!$AA$2:$AA$698,0))</f>
        <v>44515</v>
      </c>
      <c r="J137" s="6">
        <f>INDEX('[1]RTO Register'!M$2:M$698,MATCH($A137,'[1]RTO Register'!$AA$2:$AA$698,0))</f>
        <v>1</v>
      </c>
      <c r="K137" s="6">
        <f>INDEX('[1]RTO Register'!N$2:N$698,MATCH($A137,'[1]RTO Register'!$AA$2:$AA$698,0))</f>
        <v>1</v>
      </c>
      <c r="L137" s="6">
        <f>INDEX('[1]RTO Register'!O$2:O$698,MATCH($A137,'[1]RTO Register'!$AA$2:$AA$698,0))</f>
        <v>44516</v>
      </c>
      <c r="M137" s="6">
        <f>INDEX('[1]RTO Register'!P$2:P$698,MATCH($A137,'[1]RTO Register'!$AA$2:$AA$698,0))</f>
        <v>1</v>
      </c>
      <c r="N137" s="6">
        <f>INDEX('[1]RTO Register'!Q$2:Q$698,MATCH($A137,'[1]RTO Register'!$AA$2:$AA$698,0))</f>
        <v>1</v>
      </c>
      <c r="O137" s="6">
        <f>INDEX('[1]RTO Register'!R$2:R$698,MATCH($A137,'[1]RTO Register'!$AA$2:$AA$698,0))</f>
        <v>1</v>
      </c>
      <c r="P137" s="6">
        <f>INDEX('[1]RTO Register'!S$2:S$698,MATCH($A137,'[1]RTO Register'!$AA$2:$AA$698,0))</f>
        <v>1</v>
      </c>
      <c r="Q137" s="6">
        <f t="shared" si="5"/>
        <v>44516</v>
      </c>
    </row>
    <row r="138" spans="1:17" x14ac:dyDescent="0.25">
      <c r="A138" t="str">
        <v>40928</v>
      </c>
      <c r="B138" t="str">
        <v>MiHaven Pty. Ltd.</v>
      </c>
      <c r="C138" t="str">
        <v>MiHaven Training</v>
      </c>
      <c r="D138" t="str">
        <f>VLOOKUP(A138,'[1]RTO Register'!AA$2:AH635,8,FALSE)</f>
        <v>4870</v>
      </c>
      <c r="E138" s="8" t="s">
        <v>153</v>
      </c>
      <c r="F138" s="1" t="str">
        <f t="shared" si="4"/>
        <v/>
      </c>
      <c r="G138" s="1" t="str">
        <f>IFERROR(IF(INDEX('[1]RTO Register'!AP$2:AP$698,MATCH($A138,'[1]RTO Register'!$AA$2:$AA$698,0))="Yes","School",""),"")</f>
        <v/>
      </c>
      <c r="H138" s="6">
        <f>INDEX('[1]RTO Register'!K$2:K$698,MATCH($A138,'[1]RTO Register'!$AA$2:$AA$698,0))</f>
        <v>1</v>
      </c>
      <c r="I138" s="6">
        <f>INDEX('[1]RTO Register'!L$2:L$698,MATCH($A138,'[1]RTO Register'!$AA$2:$AA$698,0))</f>
        <v>1</v>
      </c>
      <c r="J138" s="6">
        <f>INDEX('[1]RTO Register'!M$2:M$698,MATCH($A138,'[1]RTO Register'!$AA$2:$AA$698,0))</f>
        <v>1</v>
      </c>
      <c r="K138" s="6">
        <f>INDEX('[1]RTO Register'!N$2:N$698,MATCH($A138,'[1]RTO Register'!$AA$2:$AA$698,0))</f>
        <v>1</v>
      </c>
      <c r="L138" s="6">
        <f>INDEX('[1]RTO Register'!O$2:O$698,MATCH($A138,'[1]RTO Register'!$AA$2:$AA$698,0))</f>
        <v>1</v>
      </c>
      <c r="M138" s="6">
        <f>INDEX('[1]RTO Register'!P$2:P$698,MATCH($A138,'[1]RTO Register'!$AA$2:$AA$698,0))</f>
        <v>1</v>
      </c>
      <c r="N138" s="6">
        <f>INDEX('[1]RTO Register'!Q$2:Q$698,MATCH($A138,'[1]RTO Register'!$AA$2:$AA$698,0))</f>
        <v>1</v>
      </c>
      <c r="O138" s="6">
        <f>INDEX('[1]RTO Register'!R$2:R$698,MATCH($A138,'[1]RTO Register'!$AA$2:$AA$698,0))</f>
        <v>1</v>
      </c>
      <c r="P138" s="6">
        <f>INDEX('[1]RTO Register'!S$2:S$698,MATCH($A138,'[1]RTO Register'!$AA$2:$AA$698,0))</f>
        <v>1</v>
      </c>
      <c r="Q138" s="6">
        <f t="shared" si="5"/>
        <v>1</v>
      </c>
    </row>
    <row r="139" spans="1:17" x14ac:dyDescent="0.25">
      <c r="A139" t="str">
        <v>40931</v>
      </c>
      <c r="B139" t="str">
        <v>Queensland Transport &amp; Logistics Training Pty Ltd</v>
      </c>
      <c r="C139" t="str">
        <v>N/A</v>
      </c>
      <c r="D139" t="str">
        <f>VLOOKUP(A139,'[1]RTO Register'!AA$2:AH636,8,FALSE)</f>
        <v>4868</v>
      </c>
      <c r="E139" s="8" t="s">
        <v>154</v>
      </c>
      <c r="F139" s="1" t="str">
        <f t="shared" si="4"/>
        <v/>
      </c>
      <c r="G139" s="1" t="str">
        <f>IFERROR(IF(INDEX('[1]RTO Register'!AP$2:AP$698,MATCH($A139,'[1]RTO Register'!$AA$2:$AA$698,0))="Yes","School",""),"")</f>
        <v/>
      </c>
      <c r="H139" s="6">
        <f>INDEX('[1]RTO Register'!K$2:K$698,MATCH($A139,'[1]RTO Register'!$AA$2:$AA$698,0))</f>
        <v>1</v>
      </c>
      <c r="I139" s="6">
        <f>INDEX('[1]RTO Register'!L$2:L$698,MATCH($A139,'[1]RTO Register'!$AA$2:$AA$698,0))</f>
        <v>1</v>
      </c>
      <c r="J139" s="6">
        <f>INDEX('[1]RTO Register'!M$2:M$698,MATCH($A139,'[1]RTO Register'!$AA$2:$AA$698,0))</f>
        <v>1</v>
      </c>
      <c r="K139" s="6">
        <f>INDEX('[1]RTO Register'!N$2:N$698,MATCH($A139,'[1]RTO Register'!$AA$2:$AA$698,0))</f>
        <v>1</v>
      </c>
      <c r="L139" s="6">
        <f>INDEX('[1]RTO Register'!O$2:O$698,MATCH($A139,'[1]RTO Register'!$AA$2:$AA$698,0))</f>
        <v>1</v>
      </c>
      <c r="M139" s="6">
        <f>INDEX('[1]RTO Register'!P$2:P$698,MATCH($A139,'[1]RTO Register'!$AA$2:$AA$698,0))</f>
        <v>1</v>
      </c>
      <c r="N139" s="6">
        <f>INDEX('[1]RTO Register'!Q$2:Q$698,MATCH($A139,'[1]RTO Register'!$AA$2:$AA$698,0))</f>
        <v>1</v>
      </c>
      <c r="O139" s="6">
        <f>INDEX('[1]RTO Register'!R$2:R$698,MATCH($A139,'[1]RTO Register'!$AA$2:$AA$698,0))</f>
        <v>1</v>
      </c>
      <c r="P139" s="6">
        <f>INDEX('[1]RTO Register'!S$2:S$698,MATCH($A139,'[1]RTO Register'!$AA$2:$AA$698,0))</f>
        <v>1</v>
      </c>
      <c r="Q139" s="6">
        <f t="shared" si="5"/>
        <v>1</v>
      </c>
    </row>
    <row r="140" spans="1:17" x14ac:dyDescent="0.25">
      <c r="A140" t="str">
        <v>40939</v>
      </c>
      <c r="B140" t="str">
        <v>Central Queensland University</v>
      </c>
      <c r="C140" t="str">
        <v>CQUniversity Australia</v>
      </c>
      <c r="D140" t="str">
        <f>VLOOKUP(A140,'[1]RTO Register'!AA$2:AH637,8,FALSE)</f>
        <v>4701</v>
      </c>
      <c r="E140" s="8" t="s">
        <v>155</v>
      </c>
      <c r="F140" s="1" t="str">
        <f t="shared" si="4"/>
        <v/>
      </c>
      <c r="G140" s="1" t="str">
        <f>IFERROR(IF(INDEX('[1]RTO Register'!AP$2:AP$698,MATCH($A140,'[1]RTO Register'!$AA$2:$AA$698,0))="Yes","School",""),"")</f>
        <v/>
      </c>
      <c r="H140" s="6">
        <f>INDEX('[1]RTO Register'!K$2:K$698,MATCH($A140,'[1]RTO Register'!$AA$2:$AA$698,0))</f>
        <v>1</v>
      </c>
      <c r="I140" s="6">
        <f>INDEX('[1]RTO Register'!L$2:L$698,MATCH($A140,'[1]RTO Register'!$AA$2:$AA$698,0))</f>
        <v>1</v>
      </c>
      <c r="J140" s="6">
        <f>INDEX('[1]RTO Register'!M$2:M$698,MATCH($A140,'[1]RTO Register'!$AA$2:$AA$698,0))</f>
        <v>1</v>
      </c>
      <c r="K140" s="6">
        <f>INDEX('[1]RTO Register'!N$2:N$698,MATCH($A140,'[1]RTO Register'!$AA$2:$AA$698,0))</f>
        <v>1</v>
      </c>
      <c r="L140" s="6">
        <f>INDEX('[1]RTO Register'!O$2:O$698,MATCH($A140,'[1]RTO Register'!$AA$2:$AA$698,0))</f>
        <v>1</v>
      </c>
      <c r="M140" s="6">
        <f>INDEX('[1]RTO Register'!P$2:P$698,MATCH($A140,'[1]RTO Register'!$AA$2:$AA$698,0))</f>
        <v>1</v>
      </c>
      <c r="N140" s="6">
        <f>INDEX('[1]RTO Register'!Q$2:Q$698,MATCH($A140,'[1]RTO Register'!$AA$2:$AA$698,0))</f>
        <v>1</v>
      </c>
      <c r="O140" s="6">
        <f>INDEX('[1]RTO Register'!R$2:R$698,MATCH($A140,'[1]RTO Register'!$AA$2:$AA$698,0))</f>
        <v>1</v>
      </c>
      <c r="P140" s="6">
        <f>INDEX('[1]RTO Register'!S$2:S$698,MATCH($A140,'[1]RTO Register'!$AA$2:$AA$698,0))</f>
        <v>1</v>
      </c>
      <c r="Q140" s="6">
        <f t="shared" si="5"/>
        <v>1</v>
      </c>
    </row>
    <row r="141" spans="1:17" x14ac:dyDescent="0.25">
      <c r="A141" t="str">
        <v>40973</v>
      </c>
      <c r="B141" t="str">
        <v>HI-Reach Training Australia Pty Ltd</v>
      </c>
      <c r="C141" t="str">
        <v>N/A</v>
      </c>
      <c r="D141" t="str">
        <f>VLOOKUP(A141,'[1]RTO Register'!AA$2:AH638,8,FALSE)</f>
        <v>4172</v>
      </c>
      <c r="E141" s="8" t="s">
        <v>156</v>
      </c>
      <c r="F141" s="1" t="str">
        <f t="shared" si="4"/>
        <v/>
      </c>
      <c r="G141" s="1" t="str">
        <f>IFERROR(IF(INDEX('[1]RTO Register'!AP$2:AP$698,MATCH($A141,'[1]RTO Register'!$AA$2:$AA$698,0))="Yes","School",""),"")</f>
        <v/>
      </c>
      <c r="H141" s="6">
        <f>INDEX('[1]RTO Register'!K$2:K$698,MATCH($A141,'[1]RTO Register'!$AA$2:$AA$698,0))</f>
        <v>1</v>
      </c>
      <c r="I141" s="6">
        <f>INDEX('[1]RTO Register'!L$2:L$698,MATCH($A141,'[1]RTO Register'!$AA$2:$AA$698,0))</f>
        <v>1</v>
      </c>
      <c r="J141" s="6">
        <f>INDEX('[1]RTO Register'!M$2:M$698,MATCH($A141,'[1]RTO Register'!$AA$2:$AA$698,0))</f>
        <v>1</v>
      </c>
      <c r="K141" s="6">
        <f>INDEX('[1]RTO Register'!N$2:N$698,MATCH($A141,'[1]RTO Register'!$AA$2:$AA$698,0))</f>
        <v>1</v>
      </c>
      <c r="L141" s="6">
        <f>INDEX('[1]RTO Register'!O$2:O$698,MATCH($A141,'[1]RTO Register'!$AA$2:$AA$698,0))</f>
        <v>1</v>
      </c>
      <c r="M141" s="6">
        <f>INDEX('[1]RTO Register'!P$2:P$698,MATCH($A141,'[1]RTO Register'!$AA$2:$AA$698,0))</f>
        <v>1</v>
      </c>
      <c r="N141" s="6">
        <f>INDEX('[1]RTO Register'!Q$2:Q$698,MATCH($A141,'[1]RTO Register'!$AA$2:$AA$698,0))</f>
        <v>1</v>
      </c>
      <c r="O141" s="6">
        <f>INDEX('[1]RTO Register'!R$2:R$698,MATCH($A141,'[1]RTO Register'!$AA$2:$AA$698,0))</f>
        <v>1</v>
      </c>
      <c r="P141" s="6">
        <f>INDEX('[1]RTO Register'!S$2:S$698,MATCH($A141,'[1]RTO Register'!$AA$2:$AA$698,0))</f>
        <v>1</v>
      </c>
      <c r="Q141" s="6">
        <f t="shared" si="5"/>
        <v>1</v>
      </c>
    </row>
    <row r="142" spans="1:17" x14ac:dyDescent="0.25">
      <c r="A142" t="str">
        <v>41010</v>
      </c>
      <c r="B142" t="str">
        <v>Philip Denmeade</v>
      </c>
      <c r="C142" t="str">
        <v>Coast Training</v>
      </c>
      <c r="D142" t="str">
        <f>VLOOKUP(A142,'[1]RTO Register'!AA$2:AH639,8,FALSE)</f>
        <v>4802</v>
      </c>
      <c r="E142" s="8" t="s">
        <v>157</v>
      </c>
      <c r="F142" s="1" t="str">
        <f t="shared" si="4"/>
        <v/>
      </c>
      <c r="G142" s="1" t="str">
        <f>IFERROR(IF(INDEX('[1]RTO Register'!AP$2:AP$698,MATCH($A142,'[1]RTO Register'!$AA$2:$AA$698,0))="Yes","School",""),"")</f>
        <v/>
      </c>
      <c r="H142" s="6">
        <f>INDEX('[1]RTO Register'!K$2:K$698,MATCH($A142,'[1]RTO Register'!$AA$2:$AA$698,0))</f>
        <v>1</v>
      </c>
      <c r="I142" s="6">
        <f>INDEX('[1]RTO Register'!L$2:L$698,MATCH($A142,'[1]RTO Register'!$AA$2:$AA$698,0))</f>
        <v>1</v>
      </c>
      <c r="J142" s="6">
        <f>INDEX('[1]RTO Register'!M$2:M$698,MATCH($A142,'[1]RTO Register'!$AA$2:$AA$698,0))</f>
        <v>1</v>
      </c>
      <c r="K142" s="6">
        <f>INDEX('[1]RTO Register'!N$2:N$698,MATCH($A142,'[1]RTO Register'!$AA$2:$AA$698,0))</f>
        <v>1</v>
      </c>
      <c r="L142" s="6">
        <f>INDEX('[1]RTO Register'!O$2:O$698,MATCH($A142,'[1]RTO Register'!$AA$2:$AA$698,0))</f>
        <v>1</v>
      </c>
      <c r="M142" s="6">
        <f>INDEX('[1]RTO Register'!P$2:P$698,MATCH($A142,'[1]RTO Register'!$AA$2:$AA$698,0))</f>
        <v>1</v>
      </c>
      <c r="N142" s="6">
        <f>INDEX('[1]RTO Register'!Q$2:Q$698,MATCH($A142,'[1]RTO Register'!$AA$2:$AA$698,0))</f>
        <v>1</v>
      </c>
      <c r="O142" s="6">
        <f>INDEX('[1]RTO Register'!R$2:R$698,MATCH($A142,'[1]RTO Register'!$AA$2:$AA$698,0))</f>
        <v>1</v>
      </c>
      <c r="P142" s="6">
        <f>INDEX('[1]RTO Register'!S$2:S$698,MATCH($A142,'[1]RTO Register'!$AA$2:$AA$698,0))</f>
        <v>1</v>
      </c>
      <c r="Q142" s="6">
        <f t="shared" si="5"/>
        <v>1</v>
      </c>
    </row>
    <row r="143" spans="1:17" x14ac:dyDescent="0.25">
      <c r="A143" t="str">
        <v>41072</v>
      </c>
      <c r="B143" t="str">
        <v>National Courses Pty Ltd</v>
      </c>
      <c r="C143" t="str">
        <v xml:space="preserve"> NATIONAL WHITE CARD COURSES</v>
      </c>
      <c r="D143" t="str">
        <f>VLOOKUP(A143,'[1]RTO Register'!AA$2:AH640,8,FALSE)</f>
        <v>2010</v>
      </c>
      <c r="E143" s="8" t="s">
        <v>158</v>
      </c>
      <c r="F143" s="1" t="str">
        <f t="shared" si="4"/>
        <v/>
      </c>
      <c r="G143" s="1" t="str">
        <f>IFERROR(IF(INDEX('[1]RTO Register'!AP$2:AP$698,MATCH($A143,'[1]RTO Register'!$AA$2:$AA$698,0))="Yes","School",""),"")</f>
        <v/>
      </c>
      <c r="H143" s="6">
        <f>INDEX('[1]RTO Register'!K$2:K$698,MATCH($A143,'[1]RTO Register'!$AA$2:$AA$698,0))</f>
        <v>1</v>
      </c>
      <c r="I143" s="6">
        <f>INDEX('[1]RTO Register'!L$2:L$698,MATCH($A143,'[1]RTO Register'!$AA$2:$AA$698,0))</f>
        <v>1</v>
      </c>
      <c r="J143" s="6">
        <f>INDEX('[1]RTO Register'!M$2:M$698,MATCH($A143,'[1]RTO Register'!$AA$2:$AA$698,0))</f>
        <v>1</v>
      </c>
      <c r="K143" s="6">
        <f>INDEX('[1]RTO Register'!N$2:N$698,MATCH($A143,'[1]RTO Register'!$AA$2:$AA$698,0))</f>
        <v>1</v>
      </c>
      <c r="L143" s="6">
        <f>INDEX('[1]RTO Register'!O$2:O$698,MATCH($A143,'[1]RTO Register'!$AA$2:$AA$698,0))</f>
        <v>1</v>
      </c>
      <c r="M143" s="6">
        <f>INDEX('[1]RTO Register'!P$2:P$698,MATCH($A143,'[1]RTO Register'!$AA$2:$AA$698,0))</f>
        <v>1</v>
      </c>
      <c r="N143" s="6">
        <f>INDEX('[1]RTO Register'!Q$2:Q$698,MATCH($A143,'[1]RTO Register'!$AA$2:$AA$698,0))</f>
        <v>1</v>
      </c>
      <c r="O143" s="6">
        <f>INDEX('[1]RTO Register'!R$2:R$698,MATCH($A143,'[1]RTO Register'!$AA$2:$AA$698,0))</f>
        <v>1</v>
      </c>
      <c r="P143" s="6">
        <f>INDEX('[1]RTO Register'!S$2:S$698,MATCH($A143,'[1]RTO Register'!$AA$2:$AA$698,0))</f>
        <v>1</v>
      </c>
      <c r="Q143" s="6">
        <f t="shared" si="5"/>
        <v>1</v>
      </c>
    </row>
    <row r="144" spans="1:17" x14ac:dyDescent="0.25">
      <c r="A144" t="str">
        <v>41096</v>
      </c>
      <c r="B144" t="str">
        <v>Ashton Lee Pty Ltd as trustee for the Ashton Lee Family Trust</v>
      </c>
      <c r="C144" t="str">
        <v>Training &amp; Personnel Australia</v>
      </c>
      <c r="D144" t="str">
        <f>VLOOKUP(A144,'[1]RTO Register'!AA$2:AH641,8,FALSE)</f>
        <v>4818</v>
      </c>
      <c r="E144" s="8" t="s">
        <v>159</v>
      </c>
      <c r="F144" s="1" t="str">
        <f t="shared" si="4"/>
        <v/>
      </c>
      <c r="G144" s="1" t="str">
        <f>IFERROR(IF(INDEX('[1]RTO Register'!AP$2:AP$698,MATCH($A144,'[1]RTO Register'!$AA$2:$AA$698,0))="Yes","School",""),"")</f>
        <v/>
      </c>
      <c r="H144" s="6">
        <f>INDEX('[1]RTO Register'!K$2:K$698,MATCH($A144,'[1]RTO Register'!$AA$2:$AA$698,0))</f>
        <v>1</v>
      </c>
      <c r="I144" s="6">
        <f>INDEX('[1]RTO Register'!L$2:L$698,MATCH($A144,'[1]RTO Register'!$AA$2:$AA$698,0))</f>
        <v>1</v>
      </c>
      <c r="J144" s="6">
        <f>INDEX('[1]RTO Register'!M$2:M$698,MATCH($A144,'[1]RTO Register'!$AA$2:$AA$698,0))</f>
        <v>1</v>
      </c>
      <c r="K144" s="6">
        <f>INDEX('[1]RTO Register'!N$2:N$698,MATCH($A144,'[1]RTO Register'!$AA$2:$AA$698,0))</f>
        <v>1</v>
      </c>
      <c r="L144" s="6">
        <f>INDEX('[1]RTO Register'!O$2:O$698,MATCH($A144,'[1]RTO Register'!$AA$2:$AA$698,0))</f>
        <v>1</v>
      </c>
      <c r="M144" s="6">
        <f>INDEX('[1]RTO Register'!P$2:P$698,MATCH($A144,'[1]RTO Register'!$AA$2:$AA$698,0))</f>
        <v>1</v>
      </c>
      <c r="N144" s="6">
        <f>INDEX('[1]RTO Register'!Q$2:Q$698,MATCH($A144,'[1]RTO Register'!$AA$2:$AA$698,0))</f>
        <v>1</v>
      </c>
      <c r="O144" s="6">
        <f>INDEX('[1]RTO Register'!R$2:R$698,MATCH($A144,'[1]RTO Register'!$AA$2:$AA$698,0))</f>
        <v>1</v>
      </c>
      <c r="P144" s="6">
        <f>INDEX('[1]RTO Register'!S$2:S$698,MATCH($A144,'[1]RTO Register'!$AA$2:$AA$698,0))</f>
        <v>1</v>
      </c>
      <c r="Q144" s="6">
        <f t="shared" si="5"/>
        <v>1</v>
      </c>
    </row>
    <row r="145" spans="1:17" x14ac:dyDescent="0.25">
      <c r="A145" t="str">
        <v>41097</v>
      </c>
      <c r="B145" t="str">
        <v>Ballistic Training Solutions Pty. Ltd.</v>
      </c>
      <c r="C145" t="str">
        <v>Ballistic Training Solutions</v>
      </c>
      <c r="D145" t="str">
        <f>VLOOKUP(A145,'[1]RTO Register'!AA$2:AH642,8,FALSE)</f>
        <v>4551</v>
      </c>
      <c r="E145" s="8" t="s">
        <v>160</v>
      </c>
      <c r="F145" s="1" t="str">
        <f t="shared" si="4"/>
        <v/>
      </c>
      <c r="G145" s="1" t="str">
        <f>IFERROR(IF(INDEX('[1]RTO Register'!AP$2:AP$698,MATCH($A145,'[1]RTO Register'!$AA$2:$AA$698,0))="Yes","School",""),"")</f>
        <v/>
      </c>
      <c r="H145" s="6">
        <f>INDEX('[1]RTO Register'!K$2:K$698,MATCH($A145,'[1]RTO Register'!$AA$2:$AA$698,0))</f>
        <v>1</v>
      </c>
      <c r="I145" s="6">
        <f>INDEX('[1]RTO Register'!L$2:L$698,MATCH($A145,'[1]RTO Register'!$AA$2:$AA$698,0))</f>
        <v>1</v>
      </c>
      <c r="J145" s="6">
        <f>INDEX('[1]RTO Register'!M$2:M$698,MATCH($A145,'[1]RTO Register'!$AA$2:$AA$698,0))</f>
        <v>1</v>
      </c>
      <c r="K145" s="6">
        <f>INDEX('[1]RTO Register'!N$2:N$698,MATCH($A145,'[1]RTO Register'!$AA$2:$AA$698,0))</f>
        <v>1</v>
      </c>
      <c r="L145" s="6">
        <f>INDEX('[1]RTO Register'!O$2:O$698,MATCH($A145,'[1]RTO Register'!$AA$2:$AA$698,0))</f>
        <v>1</v>
      </c>
      <c r="M145" s="6">
        <f>INDEX('[1]RTO Register'!P$2:P$698,MATCH($A145,'[1]RTO Register'!$AA$2:$AA$698,0))</f>
        <v>1</v>
      </c>
      <c r="N145" s="6">
        <f>INDEX('[1]RTO Register'!Q$2:Q$698,MATCH($A145,'[1]RTO Register'!$AA$2:$AA$698,0))</f>
        <v>1</v>
      </c>
      <c r="O145" s="6">
        <f>INDEX('[1]RTO Register'!R$2:R$698,MATCH($A145,'[1]RTO Register'!$AA$2:$AA$698,0))</f>
        <v>1</v>
      </c>
      <c r="P145" s="6">
        <f>INDEX('[1]RTO Register'!S$2:S$698,MATCH($A145,'[1]RTO Register'!$AA$2:$AA$698,0))</f>
        <v>1</v>
      </c>
      <c r="Q145" s="6">
        <f t="shared" si="5"/>
        <v>1</v>
      </c>
    </row>
    <row r="146" spans="1:17" x14ac:dyDescent="0.25">
      <c r="A146" t="str">
        <v>41176</v>
      </c>
      <c r="B146" t="str">
        <v>Yakka Training Services Pty Ltd</v>
      </c>
      <c r="C146" t="str">
        <v>Yakka Training</v>
      </c>
      <c r="D146" t="str">
        <f>VLOOKUP(A146,'[1]RTO Register'!AA$2:AH643,8,FALSE)</f>
        <v>4107</v>
      </c>
      <c r="E146" s="8" t="s">
        <v>161</v>
      </c>
      <c r="F146" s="1" t="str">
        <f t="shared" si="4"/>
        <v/>
      </c>
      <c r="G146" s="1" t="str">
        <f>IFERROR(IF(INDEX('[1]RTO Register'!AP$2:AP$698,MATCH($A146,'[1]RTO Register'!$AA$2:$AA$698,0))="Yes","School",""),"")</f>
        <v/>
      </c>
      <c r="H146" s="6">
        <f>INDEX('[1]RTO Register'!K$2:K$698,MATCH($A146,'[1]RTO Register'!$AA$2:$AA$698,0))</f>
        <v>1</v>
      </c>
      <c r="I146" s="6">
        <f>INDEX('[1]RTO Register'!L$2:L$698,MATCH($A146,'[1]RTO Register'!$AA$2:$AA$698,0))</f>
        <v>1</v>
      </c>
      <c r="J146" s="6">
        <f>INDEX('[1]RTO Register'!M$2:M$698,MATCH($A146,'[1]RTO Register'!$AA$2:$AA$698,0))</f>
        <v>1</v>
      </c>
      <c r="K146" s="6">
        <f>INDEX('[1]RTO Register'!N$2:N$698,MATCH($A146,'[1]RTO Register'!$AA$2:$AA$698,0))</f>
        <v>1</v>
      </c>
      <c r="L146" s="6">
        <f>INDEX('[1]RTO Register'!O$2:O$698,MATCH($A146,'[1]RTO Register'!$AA$2:$AA$698,0))</f>
        <v>1</v>
      </c>
      <c r="M146" s="6">
        <f>INDEX('[1]RTO Register'!P$2:P$698,MATCH($A146,'[1]RTO Register'!$AA$2:$AA$698,0))</f>
        <v>1</v>
      </c>
      <c r="N146" s="6">
        <f>INDEX('[1]RTO Register'!Q$2:Q$698,MATCH($A146,'[1]RTO Register'!$AA$2:$AA$698,0))</f>
        <v>1</v>
      </c>
      <c r="O146" s="6">
        <f>INDEX('[1]RTO Register'!R$2:R$698,MATCH($A146,'[1]RTO Register'!$AA$2:$AA$698,0))</f>
        <v>1</v>
      </c>
      <c r="P146" s="6">
        <f>INDEX('[1]RTO Register'!S$2:S$698,MATCH($A146,'[1]RTO Register'!$AA$2:$AA$698,0))</f>
        <v>1</v>
      </c>
      <c r="Q146" s="6">
        <f t="shared" si="5"/>
        <v>1</v>
      </c>
    </row>
    <row r="147" spans="1:17" x14ac:dyDescent="0.25">
      <c r="A147" t="str">
        <v>41179</v>
      </c>
      <c r="B147" t="str">
        <v>LET Training and Consultation Services Pty. Ltd.</v>
      </c>
      <c r="C147" t="str">
        <v>LET Training</v>
      </c>
      <c r="D147" t="str">
        <f>VLOOKUP(A147,'[1]RTO Register'!AA$2:AH644,8,FALSE)</f>
        <v>2150</v>
      </c>
      <c r="E147" s="8" t="s">
        <v>162</v>
      </c>
      <c r="F147" s="1" t="str">
        <f t="shared" si="4"/>
        <v/>
      </c>
      <c r="G147" s="1" t="str">
        <f>IFERROR(IF(INDEX('[1]RTO Register'!AP$2:AP$698,MATCH($A147,'[1]RTO Register'!$AA$2:$AA$698,0))="Yes","School",""),"")</f>
        <v/>
      </c>
      <c r="H147" s="6">
        <f>INDEX('[1]RTO Register'!K$2:K$698,MATCH($A147,'[1]RTO Register'!$AA$2:$AA$698,0))</f>
        <v>1</v>
      </c>
      <c r="I147" s="6">
        <f>INDEX('[1]RTO Register'!L$2:L$698,MATCH($A147,'[1]RTO Register'!$AA$2:$AA$698,0))</f>
        <v>1</v>
      </c>
      <c r="J147" s="6">
        <f>INDEX('[1]RTO Register'!M$2:M$698,MATCH($A147,'[1]RTO Register'!$AA$2:$AA$698,0))</f>
        <v>1</v>
      </c>
      <c r="K147" s="6">
        <f>INDEX('[1]RTO Register'!N$2:N$698,MATCH($A147,'[1]RTO Register'!$AA$2:$AA$698,0))</f>
        <v>1</v>
      </c>
      <c r="L147" s="6">
        <f>INDEX('[1]RTO Register'!O$2:O$698,MATCH($A147,'[1]RTO Register'!$AA$2:$AA$698,0))</f>
        <v>1</v>
      </c>
      <c r="M147" s="6">
        <f>INDEX('[1]RTO Register'!P$2:P$698,MATCH($A147,'[1]RTO Register'!$AA$2:$AA$698,0))</f>
        <v>1</v>
      </c>
      <c r="N147" s="6">
        <f>INDEX('[1]RTO Register'!Q$2:Q$698,MATCH($A147,'[1]RTO Register'!$AA$2:$AA$698,0))</f>
        <v>1</v>
      </c>
      <c r="O147" s="6">
        <f>INDEX('[1]RTO Register'!R$2:R$698,MATCH($A147,'[1]RTO Register'!$AA$2:$AA$698,0))</f>
        <v>1</v>
      </c>
      <c r="P147" s="6">
        <f>INDEX('[1]RTO Register'!S$2:S$698,MATCH($A147,'[1]RTO Register'!$AA$2:$AA$698,0))</f>
        <v>1</v>
      </c>
      <c r="Q147" s="6">
        <f t="shared" si="5"/>
        <v>1</v>
      </c>
    </row>
    <row r="148" spans="1:17" x14ac:dyDescent="0.25">
      <c r="A148" t="str">
        <v>41225</v>
      </c>
      <c r="B148" t="str">
        <v>Cairns Steel Construction Pty Ltd</v>
      </c>
      <c r="C148" t="str">
        <v>Century Training</v>
      </c>
      <c r="D148" t="str">
        <f>VLOOKUP(A148,'[1]RTO Register'!AA$2:AH645,8,FALSE)</f>
        <v>4870</v>
      </c>
      <c r="E148" s="8" t="s">
        <v>163</v>
      </c>
      <c r="F148" s="1" t="str">
        <f t="shared" si="4"/>
        <v/>
      </c>
      <c r="G148" s="1" t="str">
        <f>IFERROR(IF(INDEX('[1]RTO Register'!AP$2:AP$698,MATCH($A148,'[1]RTO Register'!$AA$2:$AA$698,0))="Yes","School",""),"")</f>
        <v/>
      </c>
      <c r="H148" s="6">
        <f>INDEX('[1]RTO Register'!K$2:K$698,MATCH($A148,'[1]RTO Register'!$AA$2:$AA$698,0))</f>
        <v>1</v>
      </c>
      <c r="I148" s="6">
        <f>INDEX('[1]RTO Register'!L$2:L$698,MATCH($A148,'[1]RTO Register'!$AA$2:$AA$698,0))</f>
        <v>1</v>
      </c>
      <c r="J148" s="6">
        <f>INDEX('[1]RTO Register'!M$2:M$698,MATCH($A148,'[1]RTO Register'!$AA$2:$AA$698,0))</f>
        <v>1</v>
      </c>
      <c r="K148" s="6">
        <f>INDEX('[1]RTO Register'!N$2:N$698,MATCH($A148,'[1]RTO Register'!$AA$2:$AA$698,0))</f>
        <v>1</v>
      </c>
      <c r="L148" s="6">
        <f>INDEX('[1]RTO Register'!O$2:O$698,MATCH($A148,'[1]RTO Register'!$AA$2:$AA$698,0))</f>
        <v>1</v>
      </c>
      <c r="M148" s="6">
        <f>INDEX('[1]RTO Register'!P$2:P$698,MATCH($A148,'[1]RTO Register'!$AA$2:$AA$698,0))</f>
        <v>1</v>
      </c>
      <c r="N148" s="6">
        <f>INDEX('[1]RTO Register'!Q$2:Q$698,MATCH($A148,'[1]RTO Register'!$AA$2:$AA$698,0))</f>
        <v>1</v>
      </c>
      <c r="O148" s="6">
        <f>INDEX('[1]RTO Register'!R$2:R$698,MATCH($A148,'[1]RTO Register'!$AA$2:$AA$698,0))</f>
        <v>1</v>
      </c>
      <c r="P148" s="6">
        <f>INDEX('[1]RTO Register'!S$2:S$698,MATCH($A148,'[1]RTO Register'!$AA$2:$AA$698,0))</f>
        <v>1</v>
      </c>
      <c r="Q148" s="6">
        <f t="shared" si="5"/>
        <v>1</v>
      </c>
    </row>
    <row r="149" spans="1:17" x14ac:dyDescent="0.25">
      <c r="A149" t="str">
        <v>41248</v>
      </c>
      <c r="B149" t="str">
        <v>Maxx International Pty. Ltd.</v>
      </c>
      <c r="C149" t="str">
        <v>Abacus College</v>
      </c>
      <c r="D149" t="str">
        <f>VLOOKUP(A149,'[1]RTO Register'!AA$2:AH646,8,FALSE)</f>
        <v>4105</v>
      </c>
      <c r="E149" s="8" t="s">
        <v>164</v>
      </c>
      <c r="F149" s="1" t="str">
        <f t="shared" si="4"/>
        <v/>
      </c>
      <c r="G149" s="1" t="str">
        <f>IFERROR(IF(INDEX('[1]RTO Register'!AP$2:AP$698,MATCH($A149,'[1]RTO Register'!$AA$2:$AA$698,0))="Yes","School",""),"")</f>
        <v/>
      </c>
      <c r="H149" s="6">
        <f>INDEX('[1]RTO Register'!K$2:K$698,MATCH($A149,'[1]RTO Register'!$AA$2:$AA$698,0))</f>
        <v>1</v>
      </c>
      <c r="I149" s="6">
        <f>INDEX('[1]RTO Register'!L$2:L$698,MATCH($A149,'[1]RTO Register'!$AA$2:$AA$698,0))</f>
        <v>1</v>
      </c>
      <c r="J149" s="6">
        <f>INDEX('[1]RTO Register'!M$2:M$698,MATCH($A149,'[1]RTO Register'!$AA$2:$AA$698,0))</f>
        <v>1</v>
      </c>
      <c r="K149" s="6">
        <f>INDEX('[1]RTO Register'!N$2:N$698,MATCH($A149,'[1]RTO Register'!$AA$2:$AA$698,0))</f>
        <v>1</v>
      </c>
      <c r="L149" s="6">
        <f>INDEX('[1]RTO Register'!O$2:O$698,MATCH($A149,'[1]RTO Register'!$AA$2:$AA$698,0))</f>
        <v>1</v>
      </c>
      <c r="M149" s="6">
        <f>INDEX('[1]RTO Register'!P$2:P$698,MATCH($A149,'[1]RTO Register'!$AA$2:$AA$698,0))</f>
        <v>1</v>
      </c>
      <c r="N149" s="6">
        <f>INDEX('[1]RTO Register'!Q$2:Q$698,MATCH($A149,'[1]RTO Register'!$AA$2:$AA$698,0))</f>
        <v>1</v>
      </c>
      <c r="O149" s="6">
        <f>INDEX('[1]RTO Register'!R$2:R$698,MATCH($A149,'[1]RTO Register'!$AA$2:$AA$698,0))</f>
        <v>1</v>
      </c>
      <c r="P149" s="6">
        <f>INDEX('[1]RTO Register'!S$2:S$698,MATCH($A149,'[1]RTO Register'!$AA$2:$AA$698,0))</f>
        <v>1</v>
      </c>
      <c r="Q149" s="6">
        <f t="shared" si="5"/>
        <v>1</v>
      </c>
    </row>
    <row r="150" spans="1:17" x14ac:dyDescent="0.25">
      <c r="A150" t="str">
        <v>41283</v>
      </c>
      <c r="B150" t="str">
        <v>101 Education Pty Ltd</v>
      </c>
      <c r="C150" t="str">
        <v xml:space="preserve">N/A	</v>
      </c>
      <c r="D150" t="str">
        <f>VLOOKUP(A150,'[1]RTO Register'!AA$2:AH647,8,FALSE)</f>
        <v>2111</v>
      </c>
      <c r="E150" s="8" t="s">
        <v>165</v>
      </c>
      <c r="F150" s="1" t="str">
        <f t="shared" si="4"/>
        <v/>
      </c>
      <c r="G150" s="1" t="str">
        <f>IFERROR(IF(INDEX('[1]RTO Register'!AP$2:AP$698,MATCH($A150,'[1]RTO Register'!$AA$2:$AA$698,0))="Yes","School",""),"")</f>
        <v/>
      </c>
      <c r="H150" s="6">
        <f>INDEX('[1]RTO Register'!K$2:K$698,MATCH($A150,'[1]RTO Register'!$AA$2:$AA$698,0))</f>
        <v>44396</v>
      </c>
      <c r="I150" s="6">
        <f>INDEX('[1]RTO Register'!L$2:L$698,MATCH($A150,'[1]RTO Register'!$AA$2:$AA$698,0))</f>
        <v>44404</v>
      </c>
      <c r="J150" s="6">
        <f>INDEX('[1]RTO Register'!M$2:M$698,MATCH($A150,'[1]RTO Register'!$AA$2:$AA$698,0))</f>
        <v>1</v>
      </c>
      <c r="K150" s="6">
        <f>INDEX('[1]RTO Register'!N$2:N$698,MATCH($A150,'[1]RTO Register'!$AA$2:$AA$698,0))</f>
        <v>1</v>
      </c>
      <c r="L150" s="6">
        <f>INDEX('[1]RTO Register'!O$2:O$698,MATCH($A150,'[1]RTO Register'!$AA$2:$AA$698,0))</f>
        <v>1</v>
      </c>
      <c r="M150" s="6">
        <f>INDEX('[1]RTO Register'!P$2:P$698,MATCH($A150,'[1]RTO Register'!$AA$2:$AA$698,0))</f>
        <v>1</v>
      </c>
      <c r="N150" s="6">
        <f>INDEX('[1]RTO Register'!Q$2:Q$698,MATCH($A150,'[1]RTO Register'!$AA$2:$AA$698,0))</f>
        <v>1</v>
      </c>
      <c r="O150" s="6">
        <f>INDEX('[1]RTO Register'!R$2:R$698,MATCH($A150,'[1]RTO Register'!$AA$2:$AA$698,0))</f>
        <v>1</v>
      </c>
      <c r="P150" s="6">
        <f>INDEX('[1]RTO Register'!S$2:S$698,MATCH($A150,'[1]RTO Register'!$AA$2:$AA$698,0))</f>
        <v>1</v>
      </c>
      <c r="Q150" s="6">
        <f t="shared" si="5"/>
        <v>44404</v>
      </c>
    </row>
    <row r="151" spans="1:17" x14ac:dyDescent="0.25">
      <c r="A151" t="str">
        <v>41288</v>
      </c>
      <c r="B151" t="str">
        <v>Construction Industry Training Pty Ltd</v>
      </c>
      <c r="C151" t="str">
        <v>N/A</v>
      </c>
      <c r="D151" t="str">
        <f>VLOOKUP(A151,'[1]RTO Register'!AA$2:AH648,8,FALSE)</f>
        <v>4110</v>
      </c>
      <c r="E151" s="8" t="s">
        <v>166</v>
      </c>
      <c r="F151" s="1" t="str">
        <f t="shared" si="4"/>
        <v/>
      </c>
      <c r="G151" s="1" t="str">
        <f>IFERROR(IF(INDEX('[1]RTO Register'!AP$2:AP$698,MATCH($A151,'[1]RTO Register'!$AA$2:$AA$698,0))="Yes","School",""),"")</f>
        <v/>
      </c>
      <c r="H151" s="6">
        <f>INDEX('[1]RTO Register'!K$2:K$698,MATCH($A151,'[1]RTO Register'!$AA$2:$AA$698,0))</f>
        <v>1</v>
      </c>
      <c r="I151" s="6">
        <f>INDEX('[1]RTO Register'!L$2:L$698,MATCH($A151,'[1]RTO Register'!$AA$2:$AA$698,0))</f>
        <v>1</v>
      </c>
      <c r="J151" s="6">
        <f>INDEX('[1]RTO Register'!M$2:M$698,MATCH($A151,'[1]RTO Register'!$AA$2:$AA$698,0))</f>
        <v>1</v>
      </c>
      <c r="K151" s="6">
        <f>INDEX('[1]RTO Register'!N$2:N$698,MATCH($A151,'[1]RTO Register'!$AA$2:$AA$698,0))</f>
        <v>1</v>
      </c>
      <c r="L151" s="6">
        <f>INDEX('[1]RTO Register'!O$2:O$698,MATCH($A151,'[1]RTO Register'!$AA$2:$AA$698,0))</f>
        <v>1</v>
      </c>
      <c r="M151" s="6">
        <f>INDEX('[1]RTO Register'!P$2:P$698,MATCH($A151,'[1]RTO Register'!$AA$2:$AA$698,0))</f>
        <v>1</v>
      </c>
      <c r="N151" s="6">
        <f>INDEX('[1]RTO Register'!Q$2:Q$698,MATCH($A151,'[1]RTO Register'!$AA$2:$AA$698,0))</f>
        <v>1</v>
      </c>
      <c r="O151" s="6">
        <f>INDEX('[1]RTO Register'!R$2:R$698,MATCH($A151,'[1]RTO Register'!$AA$2:$AA$698,0))</f>
        <v>1</v>
      </c>
      <c r="P151" s="6">
        <f>INDEX('[1]RTO Register'!S$2:S$698,MATCH($A151,'[1]RTO Register'!$AA$2:$AA$698,0))</f>
        <v>1</v>
      </c>
      <c r="Q151" s="6">
        <f t="shared" si="5"/>
        <v>1</v>
      </c>
    </row>
    <row r="152" spans="1:17" x14ac:dyDescent="0.25">
      <c r="A152" t="str">
        <v>41304</v>
      </c>
      <c r="B152" t="str">
        <v>PM2 Pty Ltd</v>
      </c>
      <c r="C152" t="str">
        <v>PM Squared</v>
      </c>
      <c r="D152" t="str">
        <f>VLOOKUP(A152,'[1]RTO Register'!AA$2:AH649,8,FALSE)</f>
        <v>4518</v>
      </c>
      <c r="E152" s="8" t="s">
        <v>167</v>
      </c>
      <c r="F152" s="1" t="str">
        <f t="shared" si="4"/>
        <v/>
      </c>
      <c r="G152" s="1" t="str">
        <f>IFERROR(IF(INDEX('[1]RTO Register'!AP$2:AP$698,MATCH($A152,'[1]RTO Register'!$AA$2:$AA$698,0))="Yes","School",""),"")</f>
        <v/>
      </c>
      <c r="H152" s="6">
        <f>INDEX('[1]RTO Register'!K$2:K$698,MATCH($A152,'[1]RTO Register'!$AA$2:$AA$698,0))</f>
        <v>1</v>
      </c>
      <c r="I152" s="6">
        <f>INDEX('[1]RTO Register'!L$2:L$698,MATCH($A152,'[1]RTO Register'!$AA$2:$AA$698,0))</f>
        <v>1</v>
      </c>
      <c r="J152" s="6">
        <f>INDEX('[1]RTO Register'!M$2:M$698,MATCH($A152,'[1]RTO Register'!$AA$2:$AA$698,0))</f>
        <v>1</v>
      </c>
      <c r="K152" s="6">
        <f>INDEX('[1]RTO Register'!N$2:N$698,MATCH($A152,'[1]RTO Register'!$AA$2:$AA$698,0))</f>
        <v>1</v>
      </c>
      <c r="L152" s="6">
        <f>INDEX('[1]RTO Register'!O$2:O$698,MATCH($A152,'[1]RTO Register'!$AA$2:$AA$698,0))</f>
        <v>1</v>
      </c>
      <c r="M152" s="6">
        <f>INDEX('[1]RTO Register'!P$2:P$698,MATCH($A152,'[1]RTO Register'!$AA$2:$AA$698,0))</f>
        <v>1</v>
      </c>
      <c r="N152" s="6">
        <f>INDEX('[1]RTO Register'!Q$2:Q$698,MATCH($A152,'[1]RTO Register'!$AA$2:$AA$698,0))</f>
        <v>1</v>
      </c>
      <c r="O152" s="6">
        <f>INDEX('[1]RTO Register'!R$2:R$698,MATCH($A152,'[1]RTO Register'!$AA$2:$AA$698,0))</f>
        <v>1</v>
      </c>
      <c r="P152" s="6">
        <f>INDEX('[1]RTO Register'!S$2:S$698,MATCH($A152,'[1]RTO Register'!$AA$2:$AA$698,0))</f>
        <v>1</v>
      </c>
      <c r="Q152" s="6">
        <f t="shared" si="5"/>
        <v>1</v>
      </c>
    </row>
    <row r="153" spans="1:17" x14ac:dyDescent="0.25">
      <c r="A153" t="str">
        <v>41315</v>
      </c>
      <c r="B153" t="str">
        <v>Orange International College Pty Ltd</v>
      </c>
      <c r="C153" t="str">
        <v>Orange International College</v>
      </c>
      <c r="D153" t="str">
        <f>VLOOKUP(A153,'[1]RTO Register'!AA$2:AH650,8,FALSE)</f>
        <v>3000</v>
      </c>
      <c r="E153" s="8" t="s">
        <v>168</v>
      </c>
      <c r="F153" s="1" t="str">
        <f t="shared" si="4"/>
        <v/>
      </c>
      <c r="G153" s="1" t="str">
        <f>IFERROR(IF(INDEX('[1]RTO Register'!AP$2:AP$698,MATCH($A153,'[1]RTO Register'!$AA$2:$AA$698,0))="Yes","School",""),"")</f>
        <v/>
      </c>
      <c r="H153" s="6">
        <f>INDEX('[1]RTO Register'!K$2:K$698,MATCH($A153,'[1]RTO Register'!$AA$2:$AA$698,0))</f>
        <v>1</v>
      </c>
      <c r="I153" s="6">
        <f>INDEX('[1]RTO Register'!L$2:L$698,MATCH($A153,'[1]RTO Register'!$AA$2:$AA$698,0))</f>
        <v>1</v>
      </c>
      <c r="J153" s="6">
        <f>INDEX('[1]RTO Register'!M$2:M$698,MATCH($A153,'[1]RTO Register'!$AA$2:$AA$698,0))</f>
        <v>1</v>
      </c>
      <c r="K153" s="6">
        <f>INDEX('[1]RTO Register'!N$2:N$698,MATCH($A153,'[1]RTO Register'!$AA$2:$AA$698,0))</f>
        <v>1</v>
      </c>
      <c r="L153" s="6">
        <f>INDEX('[1]RTO Register'!O$2:O$698,MATCH($A153,'[1]RTO Register'!$AA$2:$AA$698,0))</f>
        <v>1</v>
      </c>
      <c r="M153" s="6">
        <f>INDEX('[1]RTO Register'!P$2:P$698,MATCH($A153,'[1]RTO Register'!$AA$2:$AA$698,0))</f>
        <v>1</v>
      </c>
      <c r="N153" s="6">
        <f>INDEX('[1]RTO Register'!Q$2:Q$698,MATCH($A153,'[1]RTO Register'!$AA$2:$AA$698,0))</f>
        <v>1</v>
      </c>
      <c r="O153" s="6">
        <f>INDEX('[1]RTO Register'!R$2:R$698,MATCH($A153,'[1]RTO Register'!$AA$2:$AA$698,0))</f>
        <v>1</v>
      </c>
      <c r="P153" s="6">
        <f>INDEX('[1]RTO Register'!S$2:S$698,MATCH($A153,'[1]RTO Register'!$AA$2:$AA$698,0))</f>
        <v>1</v>
      </c>
      <c r="Q153" s="6">
        <f t="shared" si="5"/>
        <v>1</v>
      </c>
    </row>
    <row r="154" spans="1:17" x14ac:dyDescent="0.25">
      <c r="A154" t="str">
        <v>41345</v>
      </c>
      <c r="B154" t="str">
        <v>Final Trim Training Pty Ltd</v>
      </c>
      <c r="C154" t="str">
        <v>N/A</v>
      </c>
      <c r="D154" t="str">
        <f>VLOOKUP(A154,'[1]RTO Register'!AA$2:AH651,8,FALSE)</f>
        <v>4550</v>
      </c>
      <c r="E154" s="8" t="s">
        <v>169</v>
      </c>
      <c r="F154" s="1" t="str">
        <f t="shared" si="4"/>
        <v/>
      </c>
      <c r="G154" s="1" t="str">
        <f>IFERROR(IF(INDEX('[1]RTO Register'!AP$2:AP$698,MATCH($A154,'[1]RTO Register'!$AA$2:$AA$698,0))="Yes","School",""),"")</f>
        <v/>
      </c>
      <c r="H154" s="6">
        <f>INDEX('[1]RTO Register'!K$2:K$698,MATCH($A154,'[1]RTO Register'!$AA$2:$AA$698,0))</f>
        <v>1</v>
      </c>
      <c r="I154" s="6">
        <f>INDEX('[1]RTO Register'!L$2:L$698,MATCH($A154,'[1]RTO Register'!$AA$2:$AA$698,0))</f>
        <v>1</v>
      </c>
      <c r="J154" s="6">
        <f>INDEX('[1]RTO Register'!M$2:M$698,MATCH($A154,'[1]RTO Register'!$AA$2:$AA$698,0))</f>
        <v>1</v>
      </c>
      <c r="K154" s="6">
        <f>INDEX('[1]RTO Register'!N$2:N$698,MATCH($A154,'[1]RTO Register'!$AA$2:$AA$698,0))</f>
        <v>1</v>
      </c>
      <c r="L154" s="6">
        <f>INDEX('[1]RTO Register'!O$2:O$698,MATCH($A154,'[1]RTO Register'!$AA$2:$AA$698,0))</f>
        <v>1</v>
      </c>
      <c r="M154" s="6">
        <f>INDEX('[1]RTO Register'!P$2:P$698,MATCH($A154,'[1]RTO Register'!$AA$2:$AA$698,0))</f>
        <v>1</v>
      </c>
      <c r="N154" s="6">
        <f>INDEX('[1]RTO Register'!Q$2:Q$698,MATCH($A154,'[1]RTO Register'!$AA$2:$AA$698,0))</f>
        <v>1</v>
      </c>
      <c r="O154" s="6">
        <f>INDEX('[1]RTO Register'!R$2:R$698,MATCH($A154,'[1]RTO Register'!$AA$2:$AA$698,0))</f>
        <v>1</v>
      </c>
      <c r="P154" s="6">
        <f>INDEX('[1]RTO Register'!S$2:S$698,MATCH($A154,'[1]RTO Register'!$AA$2:$AA$698,0))</f>
        <v>1</v>
      </c>
      <c r="Q154" s="6">
        <f t="shared" si="5"/>
        <v>1</v>
      </c>
    </row>
    <row r="155" spans="1:17" x14ac:dyDescent="0.25">
      <c r="A155" t="str">
        <v>41351</v>
      </c>
      <c r="B155" t="str">
        <v>SkillPath Pty Ltd</v>
      </c>
      <c r="C155" t="str">
        <v>SkillPath</v>
      </c>
      <c r="D155" t="str">
        <f>VLOOKUP(A155,'[1]RTO Register'!AA$2:AH652,8,FALSE)</f>
        <v>4720</v>
      </c>
      <c r="E155" s="8" t="s">
        <v>170</v>
      </c>
      <c r="F155" s="1" t="str">
        <f t="shared" si="4"/>
        <v/>
      </c>
      <c r="G155" s="1" t="str">
        <f>IFERROR(IF(INDEX('[1]RTO Register'!AP$2:AP$698,MATCH($A155,'[1]RTO Register'!$AA$2:$AA$698,0))="Yes","School",""),"")</f>
        <v/>
      </c>
      <c r="H155" s="6">
        <f>INDEX('[1]RTO Register'!K$2:K$698,MATCH($A155,'[1]RTO Register'!$AA$2:$AA$698,0))</f>
        <v>1</v>
      </c>
      <c r="I155" s="6">
        <f>INDEX('[1]RTO Register'!L$2:L$698,MATCH($A155,'[1]RTO Register'!$AA$2:$AA$698,0))</f>
        <v>1</v>
      </c>
      <c r="J155" s="6">
        <f>INDEX('[1]RTO Register'!M$2:M$698,MATCH($A155,'[1]RTO Register'!$AA$2:$AA$698,0))</f>
        <v>1</v>
      </c>
      <c r="K155" s="6">
        <f>INDEX('[1]RTO Register'!N$2:N$698,MATCH($A155,'[1]RTO Register'!$AA$2:$AA$698,0))</f>
        <v>1</v>
      </c>
      <c r="L155" s="6">
        <f>INDEX('[1]RTO Register'!O$2:O$698,MATCH($A155,'[1]RTO Register'!$AA$2:$AA$698,0))</f>
        <v>1</v>
      </c>
      <c r="M155" s="6">
        <f>INDEX('[1]RTO Register'!P$2:P$698,MATCH($A155,'[1]RTO Register'!$AA$2:$AA$698,0))</f>
        <v>1</v>
      </c>
      <c r="N155" s="6">
        <f>INDEX('[1]RTO Register'!Q$2:Q$698,MATCH($A155,'[1]RTO Register'!$AA$2:$AA$698,0))</f>
        <v>1</v>
      </c>
      <c r="O155" s="6">
        <f>INDEX('[1]RTO Register'!R$2:R$698,MATCH($A155,'[1]RTO Register'!$AA$2:$AA$698,0))</f>
        <v>1</v>
      </c>
      <c r="P155" s="6">
        <f>INDEX('[1]RTO Register'!S$2:S$698,MATCH($A155,'[1]RTO Register'!$AA$2:$AA$698,0))</f>
        <v>1</v>
      </c>
      <c r="Q155" s="6">
        <f t="shared" si="5"/>
        <v>1</v>
      </c>
    </row>
    <row r="156" spans="1:17" x14ac:dyDescent="0.25">
      <c r="A156" t="str">
        <v>41356</v>
      </c>
      <c r="B156" t="str">
        <v>Servitium Group Pty Ltd</v>
      </c>
      <c r="C156" t="str">
        <v>N/A</v>
      </c>
      <c r="D156" t="str">
        <f>VLOOKUP(A156,'[1]RTO Register'!AA$2:AH653,8,FALSE)</f>
        <v>4350</v>
      </c>
      <c r="E156" s="8" t="s">
        <v>171</v>
      </c>
      <c r="F156" s="1" t="str">
        <f t="shared" si="4"/>
        <v/>
      </c>
      <c r="G156" s="1" t="str">
        <f>IFERROR(IF(INDEX('[1]RTO Register'!AP$2:AP$698,MATCH($A156,'[1]RTO Register'!$AA$2:$AA$698,0))="Yes","School",""),"")</f>
        <v/>
      </c>
      <c r="H156" s="6">
        <f>INDEX('[1]RTO Register'!K$2:K$698,MATCH($A156,'[1]RTO Register'!$AA$2:$AA$698,0))</f>
        <v>1</v>
      </c>
      <c r="I156" s="6">
        <f>INDEX('[1]RTO Register'!L$2:L$698,MATCH($A156,'[1]RTO Register'!$AA$2:$AA$698,0))</f>
        <v>1</v>
      </c>
      <c r="J156" s="6">
        <f>INDEX('[1]RTO Register'!M$2:M$698,MATCH($A156,'[1]RTO Register'!$AA$2:$AA$698,0))</f>
        <v>1</v>
      </c>
      <c r="K156" s="6">
        <f>INDEX('[1]RTO Register'!N$2:N$698,MATCH($A156,'[1]RTO Register'!$AA$2:$AA$698,0))</f>
        <v>1</v>
      </c>
      <c r="L156" s="6">
        <f>INDEX('[1]RTO Register'!O$2:O$698,MATCH($A156,'[1]RTO Register'!$AA$2:$AA$698,0))</f>
        <v>1</v>
      </c>
      <c r="M156" s="6">
        <f>INDEX('[1]RTO Register'!P$2:P$698,MATCH($A156,'[1]RTO Register'!$AA$2:$AA$698,0))</f>
        <v>1</v>
      </c>
      <c r="N156" s="6">
        <f>INDEX('[1]RTO Register'!Q$2:Q$698,MATCH($A156,'[1]RTO Register'!$AA$2:$AA$698,0))</f>
        <v>1</v>
      </c>
      <c r="O156" s="6">
        <f>INDEX('[1]RTO Register'!R$2:R$698,MATCH($A156,'[1]RTO Register'!$AA$2:$AA$698,0))</f>
        <v>1</v>
      </c>
      <c r="P156" s="6">
        <f>INDEX('[1]RTO Register'!S$2:S$698,MATCH($A156,'[1]RTO Register'!$AA$2:$AA$698,0))</f>
        <v>1</v>
      </c>
      <c r="Q156" s="6">
        <f t="shared" si="5"/>
        <v>1</v>
      </c>
    </row>
    <row r="157" spans="1:17" x14ac:dyDescent="0.25">
      <c r="A157" t="str">
        <v>41392</v>
      </c>
      <c r="B157" t="str">
        <v>Axxis Project Training Pty Ltd</v>
      </c>
      <c r="C157" t="str">
        <v>Axxis Training</v>
      </c>
      <c r="D157" t="str">
        <f>VLOOKUP(A157,'[1]RTO Register'!AA$2:AH654,8,FALSE)</f>
        <v>4019</v>
      </c>
      <c r="E157" s="8" t="s">
        <v>172</v>
      </c>
      <c r="F157" s="1" t="str">
        <f t="shared" si="4"/>
        <v/>
      </c>
      <c r="G157" s="1" t="str">
        <f>IFERROR(IF(INDEX('[1]RTO Register'!AP$2:AP$698,MATCH($A157,'[1]RTO Register'!$AA$2:$AA$698,0))="Yes","School",""),"")</f>
        <v/>
      </c>
      <c r="H157" s="6">
        <f>INDEX('[1]RTO Register'!K$2:K$698,MATCH($A157,'[1]RTO Register'!$AA$2:$AA$698,0))</f>
        <v>1</v>
      </c>
      <c r="I157" s="6">
        <f>INDEX('[1]RTO Register'!L$2:L$698,MATCH($A157,'[1]RTO Register'!$AA$2:$AA$698,0))</f>
        <v>1</v>
      </c>
      <c r="J157" s="6">
        <f>INDEX('[1]RTO Register'!M$2:M$698,MATCH($A157,'[1]RTO Register'!$AA$2:$AA$698,0))</f>
        <v>1</v>
      </c>
      <c r="K157" s="6">
        <f>INDEX('[1]RTO Register'!N$2:N$698,MATCH($A157,'[1]RTO Register'!$AA$2:$AA$698,0))</f>
        <v>1</v>
      </c>
      <c r="L157" s="6">
        <f>INDEX('[1]RTO Register'!O$2:O$698,MATCH($A157,'[1]RTO Register'!$AA$2:$AA$698,0))</f>
        <v>1</v>
      </c>
      <c r="M157" s="6">
        <f>INDEX('[1]RTO Register'!P$2:P$698,MATCH($A157,'[1]RTO Register'!$AA$2:$AA$698,0))</f>
        <v>1</v>
      </c>
      <c r="N157" s="6">
        <f>INDEX('[1]RTO Register'!Q$2:Q$698,MATCH($A157,'[1]RTO Register'!$AA$2:$AA$698,0))</f>
        <v>1</v>
      </c>
      <c r="O157" s="6">
        <f>INDEX('[1]RTO Register'!R$2:R$698,MATCH($A157,'[1]RTO Register'!$AA$2:$AA$698,0))</f>
        <v>1</v>
      </c>
      <c r="P157" s="6">
        <f>INDEX('[1]RTO Register'!S$2:S$698,MATCH($A157,'[1]RTO Register'!$AA$2:$AA$698,0))</f>
        <v>1</v>
      </c>
      <c r="Q157" s="6">
        <f t="shared" si="5"/>
        <v>1</v>
      </c>
    </row>
    <row r="158" spans="1:17" x14ac:dyDescent="0.25">
      <c r="A158" t="str">
        <v>41410</v>
      </c>
      <c r="B158" t="str">
        <v>Skills Network Australia Pty Ltd</v>
      </c>
      <c r="C158" t="str">
        <v>Skills Network</v>
      </c>
      <c r="D158" t="str">
        <f>VLOOKUP(A158,'[1]RTO Register'!AA$2:AH655,8,FALSE)</f>
        <v>2060</v>
      </c>
      <c r="E158" s="8" t="s">
        <v>173</v>
      </c>
      <c r="F158" s="1" t="str">
        <f t="shared" si="4"/>
        <v/>
      </c>
      <c r="G158" s="1" t="str">
        <f>IFERROR(IF(INDEX('[1]RTO Register'!AP$2:AP$698,MATCH($A158,'[1]RTO Register'!$AA$2:$AA$698,0))="Yes","School",""),"")</f>
        <v/>
      </c>
      <c r="H158" s="6">
        <f>INDEX('[1]RTO Register'!K$2:K$698,MATCH($A158,'[1]RTO Register'!$AA$2:$AA$698,0))</f>
        <v>1</v>
      </c>
      <c r="I158" s="6">
        <f>INDEX('[1]RTO Register'!L$2:L$698,MATCH($A158,'[1]RTO Register'!$AA$2:$AA$698,0))</f>
        <v>1</v>
      </c>
      <c r="J158" s="6">
        <f>INDEX('[1]RTO Register'!M$2:M$698,MATCH($A158,'[1]RTO Register'!$AA$2:$AA$698,0))</f>
        <v>1</v>
      </c>
      <c r="K158" s="6">
        <f>INDEX('[1]RTO Register'!N$2:N$698,MATCH($A158,'[1]RTO Register'!$AA$2:$AA$698,0))</f>
        <v>1</v>
      </c>
      <c r="L158" s="6">
        <f>INDEX('[1]RTO Register'!O$2:O$698,MATCH($A158,'[1]RTO Register'!$AA$2:$AA$698,0))</f>
        <v>1</v>
      </c>
      <c r="M158" s="6">
        <f>INDEX('[1]RTO Register'!P$2:P$698,MATCH($A158,'[1]RTO Register'!$AA$2:$AA$698,0))</f>
        <v>1</v>
      </c>
      <c r="N158" s="6">
        <f>INDEX('[1]RTO Register'!Q$2:Q$698,MATCH($A158,'[1]RTO Register'!$AA$2:$AA$698,0))</f>
        <v>1</v>
      </c>
      <c r="O158" s="6">
        <f>INDEX('[1]RTO Register'!R$2:R$698,MATCH($A158,'[1]RTO Register'!$AA$2:$AA$698,0))</f>
        <v>1</v>
      </c>
      <c r="P158" s="6">
        <f>INDEX('[1]RTO Register'!S$2:S$698,MATCH($A158,'[1]RTO Register'!$AA$2:$AA$698,0))</f>
        <v>1</v>
      </c>
      <c r="Q158" s="6">
        <f t="shared" si="5"/>
        <v>1</v>
      </c>
    </row>
    <row r="159" spans="1:17" x14ac:dyDescent="0.25">
      <c r="A159" t="str">
        <v>41413</v>
      </c>
      <c r="B159" t="str">
        <v>Valley International Pty Ltd</v>
      </c>
      <c r="C159" t="str">
        <v>Valley International College</v>
      </c>
      <c r="D159" t="str">
        <f>VLOOKUP(A159,'[1]RTO Register'!AA$2:AH656,8,FALSE)</f>
        <v>4000</v>
      </c>
      <c r="E159" s="8" t="s">
        <v>174</v>
      </c>
      <c r="F159" s="1" t="str">
        <f t="shared" si="4"/>
        <v/>
      </c>
      <c r="G159" s="1" t="str">
        <f>IFERROR(IF(INDEX('[1]RTO Register'!AP$2:AP$698,MATCH($A159,'[1]RTO Register'!$AA$2:$AA$698,0))="Yes","School",""),"")</f>
        <v/>
      </c>
      <c r="H159" s="6">
        <f>INDEX('[1]RTO Register'!K$2:K$698,MATCH($A159,'[1]RTO Register'!$AA$2:$AA$698,0))</f>
        <v>1</v>
      </c>
      <c r="I159" s="6">
        <f>INDEX('[1]RTO Register'!L$2:L$698,MATCH($A159,'[1]RTO Register'!$AA$2:$AA$698,0))</f>
        <v>1</v>
      </c>
      <c r="J159" s="6">
        <f>INDEX('[1]RTO Register'!M$2:M$698,MATCH($A159,'[1]RTO Register'!$AA$2:$AA$698,0))</f>
        <v>1</v>
      </c>
      <c r="K159" s="6">
        <f>INDEX('[1]RTO Register'!N$2:N$698,MATCH($A159,'[1]RTO Register'!$AA$2:$AA$698,0))</f>
        <v>1</v>
      </c>
      <c r="L159" s="6">
        <f>INDEX('[1]RTO Register'!O$2:O$698,MATCH($A159,'[1]RTO Register'!$AA$2:$AA$698,0))</f>
        <v>1</v>
      </c>
      <c r="M159" s="6">
        <f>INDEX('[1]RTO Register'!P$2:P$698,MATCH($A159,'[1]RTO Register'!$AA$2:$AA$698,0))</f>
        <v>1</v>
      </c>
      <c r="N159" s="6">
        <f>INDEX('[1]RTO Register'!Q$2:Q$698,MATCH($A159,'[1]RTO Register'!$AA$2:$AA$698,0))</f>
        <v>1</v>
      </c>
      <c r="O159" s="6">
        <f>INDEX('[1]RTO Register'!R$2:R$698,MATCH($A159,'[1]RTO Register'!$AA$2:$AA$698,0))</f>
        <v>1</v>
      </c>
      <c r="P159" s="6">
        <f>INDEX('[1]RTO Register'!S$2:S$698,MATCH($A159,'[1]RTO Register'!$AA$2:$AA$698,0))</f>
        <v>1</v>
      </c>
      <c r="Q159" s="6">
        <f t="shared" si="5"/>
        <v>1</v>
      </c>
    </row>
    <row r="160" spans="1:17" x14ac:dyDescent="0.25">
      <c r="A160" t="str">
        <v>41418</v>
      </c>
      <c r="B160" t="str">
        <v>AVENTIA INSTITUTE PTY LTD</v>
      </c>
      <c r="C160" t="str">
        <v>Aventia Institute</v>
      </c>
      <c r="D160" t="str">
        <f>VLOOKUP(A160,'[1]RTO Register'!AA$2:AH657,8,FALSE)</f>
        <v>4122</v>
      </c>
      <c r="E160" s="8" t="s">
        <v>175</v>
      </c>
      <c r="F160" s="1" t="str">
        <f t="shared" si="4"/>
        <v/>
      </c>
      <c r="G160" s="1" t="str">
        <f>IFERROR(IF(INDEX('[1]RTO Register'!AP$2:AP$698,MATCH($A160,'[1]RTO Register'!$AA$2:$AA$698,0))="Yes","School",""),"")</f>
        <v/>
      </c>
      <c r="H160" s="6">
        <f>INDEX('[1]RTO Register'!K$2:K$698,MATCH($A160,'[1]RTO Register'!$AA$2:$AA$698,0))</f>
        <v>1</v>
      </c>
      <c r="I160" s="6">
        <f>INDEX('[1]RTO Register'!L$2:L$698,MATCH($A160,'[1]RTO Register'!$AA$2:$AA$698,0))</f>
        <v>1</v>
      </c>
      <c r="J160" s="6">
        <f>INDEX('[1]RTO Register'!M$2:M$698,MATCH($A160,'[1]RTO Register'!$AA$2:$AA$698,0))</f>
        <v>1</v>
      </c>
      <c r="K160" s="6">
        <f>INDEX('[1]RTO Register'!N$2:N$698,MATCH($A160,'[1]RTO Register'!$AA$2:$AA$698,0))</f>
        <v>1</v>
      </c>
      <c r="L160" s="6">
        <f>INDEX('[1]RTO Register'!O$2:O$698,MATCH($A160,'[1]RTO Register'!$AA$2:$AA$698,0))</f>
        <v>1</v>
      </c>
      <c r="M160" s="6">
        <f>INDEX('[1]RTO Register'!P$2:P$698,MATCH($A160,'[1]RTO Register'!$AA$2:$AA$698,0))</f>
        <v>1</v>
      </c>
      <c r="N160" s="6">
        <f>INDEX('[1]RTO Register'!Q$2:Q$698,MATCH($A160,'[1]RTO Register'!$AA$2:$AA$698,0))</f>
        <v>1</v>
      </c>
      <c r="O160" s="6">
        <f>INDEX('[1]RTO Register'!R$2:R$698,MATCH($A160,'[1]RTO Register'!$AA$2:$AA$698,0))</f>
        <v>1</v>
      </c>
      <c r="P160" s="6">
        <f>INDEX('[1]RTO Register'!S$2:S$698,MATCH($A160,'[1]RTO Register'!$AA$2:$AA$698,0))</f>
        <v>1</v>
      </c>
      <c r="Q160" s="6">
        <f t="shared" si="5"/>
        <v>1</v>
      </c>
    </row>
    <row r="161" spans="1:17" x14ac:dyDescent="0.25">
      <c r="A161" t="str">
        <v>41469</v>
      </c>
      <c r="B161" t="str">
        <v>VICTORIAN INSTITUTE OF APPLIED LEARNING PTY LTD</v>
      </c>
      <c r="C161" t="str">
        <v>Humber College</v>
      </c>
      <c r="D161" t="str">
        <f>VLOOKUP(A161,'[1]RTO Register'!AA$2:AH658,8,FALSE)</f>
        <v>4127</v>
      </c>
      <c r="E161" s="8" t="s">
        <v>176</v>
      </c>
      <c r="F161" s="1" t="str">
        <f t="shared" si="4"/>
        <v/>
      </c>
      <c r="G161" s="1" t="str">
        <f>IFERROR(IF(INDEX('[1]RTO Register'!AP$2:AP$698,MATCH($A161,'[1]RTO Register'!$AA$2:$AA$698,0))="Yes","School",""),"")</f>
        <v/>
      </c>
      <c r="H161" s="6">
        <f>INDEX('[1]RTO Register'!K$2:K$698,MATCH($A161,'[1]RTO Register'!$AA$2:$AA$698,0))</f>
        <v>1</v>
      </c>
      <c r="I161" s="6">
        <f>INDEX('[1]RTO Register'!L$2:L$698,MATCH($A161,'[1]RTO Register'!$AA$2:$AA$698,0))</f>
        <v>1</v>
      </c>
      <c r="J161" s="6">
        <f>INDEX('[1]RTO Register'!M$2:M$698,MATCH($A161,'[1]RTO Register'!$AA$2:$AA$698,0))</f>
        <v>1</v>
      </c>
      <c r="K161" s="6">
        <f>INDEX('[1]RTO Register'!N$2:N$698,MATCH($A161,'[1]RTO Register'!$AA$2:$AA$698,0))</f>
        <v>1</v>
      </c>
      <c r="L161" s="6">
        <f>INDEX('[1]RTO Register'!O$2:O$698,MATCH($A161,'[1]RTO Register'!$AA$2:$AA$698,0))</f>
        <v>1</v>
      </c>
      <c r="M161" s="6">
        <f>INDEX('[1]RTO Register'!P$2:P$698,MATCH($A161,'[1]RTO Register'!$AA$2:$AA$698,0))</f>
        <v>1</v>
      </c>
      <c r="N161" s="6">
        <f>INDEX('[1]RTO Register'!Q$2:Q$698,MATCH($A161,'[1]RTO Register'!$AA$2:$AA$698,0))</f>
        <v>1</v>
      </c>
      <c r="O161" s="6">
        <f>INDEX('[1]RTO Register'!R$2:R$698,MATCH($A161,'[1]RTO Register'!$AA$2:$AA$698,0))</f>
        <v>1</v>
      </c>
      <c r="P161" s="6">
        <f>INDEX('[1]RTO Register'!S$2:S$698,MATCH($A161,'[1]RTO Register'!$AA$2:$AA$698,0))</f>
        <v>1</v>
      </c>
      <c r="Q161" s="6">
        <f t="shared" si="5"/>
        <v>1</v>
      </c>
    </row>
    <row r="162" spans="1:17" x14ac:dyDescent="0.25">
      <c r="A162" t="str">
        <v>41488</v>
      </c>
      <c r="B162" t="str">
        <v>CAB12 Pty Ltd</v>
      </c>
      <c r="C162" t="str">
        <v>Noble Training Group</v>
      </c>
      <c r="D162" t="str">
        <f>VLOOKUP(A162,'[1]RTO Register'!AA$2:AH659,8,FALSE)</f>
        <v>4551</v>
      </c>
      <c r="E162" s="8" t="s">
        <v>177</v>
      </c>
      <c r="F162" s="1" t="str">
        <f t="shared" si="4"/>
        <v/>
      </c>
      <c r="G162" s="1" t="str">
        <f>IFERROR(IF(INDEX('[1]RTO Register'!AP$2:AP$698,MATCH($A162,'[1]RTO Register'!$AA$2:$AA$698,0))="Yes","School",""),"")</f>
        <v/>
      </c>
      <c r="H162" s="6">
        <f>INDEX('[1]RTO Register'!K$2:K$698,MATCH($A162,'[1]RTO Register'!$AA$2:$AA$698,0))</f>
        <v>1</v>
      </c>
      <c r="I162" s="6">
        <f>INDEX('[1]RTO Register'!L$2:L$698,MATCH($A162,'[1]RTO Register'!$AA$2:$AA$698,0))</f>
        <v>1</v>
      </c>
      <c r="J162" s="6">
        <f>INDEX('[1]RTO Register'!M$2:M$698,MATCH($A162,'[1]RTO Register'!$AA$2:$AA$698,0))</f>
        <v>1</v>
      </c>
      <c r="K162" s="6">
        <f>INDEX('[1]RTO Register'!N$2:N$698,MATCH($A162,'[1]RTO Register'!$AA$2:$AA$698,0))</f>
        <v>1</v>
      </c>
      <c r="L162" s="6">
        <f>INDEX('[1]RTO Register'!O$2:O$698,MATCH($A162,'[1]RTO Register'!$AA$2:$AA$698,0))</f>
        <v>1</v>
      </c>
      <c r="M162" s="6">
        <f>INDEX('[1]RTO Register'!P$2:P$698,MATCH($A162,'[1]RTO Register'!$AA$2:$AA$698,0))</f>
        <v>1</v>
      </c>
      <c r="N162" s="6">
        <f>INDEX('[1]RTO Register'!Q$2:Q$698,MATCH($A162,'[1]RTO Register'!$AA$2:$AA$698,0))</f>
        <v>1</v>
      </c>
      <c r="O162" s="6">
        <f>INDEX('[1]RTO Register'!R$2:R$698,MATCH($A162,'[1]RTO Register'!$AA$2:$AA$698,0))</f>
        <v>1</v>
      </c>
      <c r="P162" s="6">
        <f>INDEX('[1]RTO Register'!S$2:S$698,MATCH($A162,'[1]RTO Register'!$AA$2:$AA$698,0))</f>
        <v>1</v>
      </c>
      <c r="Q162" s="6">
        <f t="shared" si="5"/>
        <v>1</v>
      </c>
    </row>
    <row r="163" spans="1:17" x14ac:dyDescent="0.25">
      <c r="A163" t="str">
        <v>41492</v>
      </c>
      <c r="B163" t="str">
        <v>Camden College Pty Ltd</v>
      </c>
      <c r="C163" t="str">
        <v>Camden College</v>
      </c>
      <c r="D163" t="str">
        <f>VLOOKUP(A163,'[1]RTO Register'!AA$2:AH660,8,FALSE)</f>
        <v>4119</v>
      </c>
      <c r="E163" s="8" t="s">
        <v>178</v>
      </c>
      <c r="F163" s="1" t="str">
        <f t="shared" si="4"/>
        <v/>
      </c>
      <c r="G163" s="1" t="str">
        <f>IFERROR(IF(INDEX('[1]RTO Register'!AP$2:AP$698,MATCH($A163,'[1]RTO Register'!$AA$2:$AA$698,0))="Yes","School",""),"")</f>
        <v/>
      </c>
      <c r="H163" s="6">
        <f>INDEX('[1]RTO Register'!K$2:K$698,MATCH($A163,'[1]RTO Register'!$AA$2:$AA$698,0))</f>
        <v>1</v>
      </c>
      <c r="I163" s="6">
        <f>INDEX('[1]RTO Register'!L$2:L$698,MATCH($A163,'[1]RTO Register'!$AA$2:$AA$698,0))</f>
        <v>1</v>
      </c>
      <c r="J163" s="6">
        <f>INDEX('[1]RTO Register'!M$2:M$698,MATCH($A163,'[1]RTO Register'!$AA$2:$AA$698,0))</f>
        <v>1</v>
      </c>
      <c r="K163" s="6">
        <f>INDEX('[1]RTO Register'!N$2:N$698,MATCH($A163,'[1]RTO Register'!$AA$2:$AA$698,0))</f>
        <v>1</v>
      </c>
      <c r="L163" s="6">
        <f>INDEX('[1]RTO Register'!O$2:O$698,MATCH($A163,'[1]RTO Register'!$AA$2:$AA$698,0))</f>
        <v>1</v>
      </c>
      <c r="M163" s="6">
        <f>INDEX('[1]RTO Register'!P$2:P$698,MATCH($A163,'[1]RTO Register'!$AA$2:$AA$698,0))</f>
        <v>1</v>
      </c>
      <c r="N163" s="6">
        <f>INDEX('[1]RTO Register'!Q$2:Q$698,MATCH($A163,'[1]RTO Register'!$AA$2:$AA$698,0))</f>
        <v>1</v>
      </c>
      <c r="O163" s="6">
        <f>INDEX('[1]RTO Register'!R$2:R$698,MATCH($A163,'[1]RTO Register'!$AA$2:$AA$698,0))</f>
        <v>1</v>
      </c>
      <c r="P163" s="6">
        <f>INDEX('[1]RTO Register'!S$2:S$698,MATCH($A163,'[1]RTO Register'!$AA$2:$AA$698,0))</f>
        <v>1</v>
      </c>
      <c r="Q163" s="6">
        <f t="shared" si="5"/>
        <v>1</v>
      </c>
    </row>
    <row r="164" spans="1:17" x14ac:dyDescent="0.25">
      <c r="A164" t="str">
        <v>41551</v>
      </c>
      <c r="B164" t="str">
        <v>PPS Training Pty Ltd</v>
      </c>
      <c r="C164" t="str">
        <v>Training Services QLD</v>
      </c>
      <c r="D164" t="str">
        <f>VLOOKUP(A164,'[1]RTO Register'!AA$2:AH661,8,FALSE)</f>
        <v>4870</v>
      </c>
      <c r="E164" s="8" t="s">
        <v>179</v>
      </c>
      <c r="F164" s="1" t="str">
        <f t="shared" si="4"/>
        <v/>
      </c>
      <c r="G164" s="1" t="str">
        <f>IFERROR(IF(INDEX('[1]RTO Register'!AP$2:AP$698,MATCH($A164,'[1]RTO Register'!$AA$2:$AA$698,0))="Yes","School",""),"")</f>
        <v/>
      </c>
      <c r="H164" s="6">
        <f>INDEX('[1]RTO Register'!K$2:K$698,MATCH($A164,'[1]RTO Register'!$AA$2:$AA$698,0))</f>
        <v>1</v>
      </c>
      <c r="I164" s="6">
        <f>INDEX('[1]RTO Register'!L$2:L$698,MATCH($A164,'[1]RTO Register'!$AA$2:$AA$698,0))</f>
        <v>1</v>
      </c>
      <c r="J164" s="6">
        <f>INDEX('[1]RTO Register'!M$2:M$698,MATCH($A164,'[1]RTO Register'!$AA$2:$AA$698,0))</f>
        <v>1</v>
      </c>
      <c r="K164" s="6">
        <f>INDEX('[1]RTO Register'!N$2:N$698,MATCH($A164,'[1]RTO Register'!$AA$2:$AA$698,0))</f>
        <v>1</v>
      </c>
      <c r="L164" s="6">
        <f>INDEX('[1]RTO Register'!O$2:O$698,MATCH($A164,'[1]RTO Register'!$AA$2:$AA$698,0))</f>
        <v>1</v>
      </c>
      <c r="M164" s="6">
        <f>INDEX('[1]RTO Register'!P$2:P$698,MATCH($A164,'[1]RTO Register'!$AA$2:$AA$698,0))</f>
        <v>1</v>
      </c>
      <c r="N164" s="6">
        <f>INDEX('[1]RTO Register'!Q$2:Q$698,MATCH($A164,'[1]RTO Register'!$AA$2:$AA$698,0))</f>
        <v>1</v>
      </c>
      <c r="O164" s="6">
        <f>INDEX('[1]RTO Register'!R$2:R$698,MATCH($A164,'[1]RTO Register'!$AA$2:$AA$698,0))</f>
        <v>1</v>
      </c>
      <c r="P164" s="6">
        <f>INDEX('[1]RTO Register'!S$2:S$698,MATCH($A164,'[1]RTO Register'!$AA$2:$AA$698,0))</f>
        <v>1</v>
      </c>
      <c r="Q164" s="6">
        <f t="shared" si="5"/>
        <v>1</v>
      </c>
    </row>
    <row r="165" spans="1:17" x14ac:dyDescent="0.25">
      <c r="A165" t="str">
        <v>41554</v>
      </c>
      <c r="B165" t="str">
        <v>Elevated Training Pty Ltd</v>
      </c>
      <c r="C165" t="str">
        <v>N/A</v>
      </c>
      <c r="D165" t="str">
        <f>VLOOKUP(A165,'[1]RTO Register'!AA$2:AH662,8,FALSE)</f>
        <v>4131</v>
      </c>
      <c r="E165" s="8" t="s">
        <v>180</v>
      </c>
      <c r="F165" s="1" t="str">
        <f t="shared" si="4"/>
        <v/>
      </c>
      <c r="G165" s="1" t="str">
        <f>IFERROR(IF(INDEX('[1]RTO Register'!AP$2:AP$698,MATCH($A165,'[1]RTO Register'!$AA$2:$AA$698,0))="Yes","School",""),"")</f>
        <v/>
      </c>
      <c r="H165" s="6">
        <f>INDEX('[1]RTO Register'!K$2:K$698,MATCH($A165,'[1]RTO Register'!$AA$2:$AA$698,0))</f>
        <v>1</v>
      </c>
      <c r="I165" s="6">
        <f>INDEX('[1]RTO Register'!L$2:L$698,MATCH($A165,'[1]RTO Register'!$AA$2:$AA$698,0))</f>
        <v>1</v>
      </c>
      <c r="J165" s="6">
        <f>INDEX('[1]RTO Register'!M$2:M$698,MATCH($A165,'[1]RTO Register'!$AA$2:$AA$698,0))</f>
        <v>1</v>
      </c>
      <c r="K165" s="6">
        <f>INDEX('[1]RTO Register'!N$2:N$698,MATCH($A165,'[1]RTO Register'!$AA$2:$AA$698,0))</f>
        <v>1</v>
      </c>
      <c r="L165" s="6">
        <f>INDEX('[1]RTO Register'!O$2:O$698,MATCH($A165,'[1]RTO Register'!$AA$2:$AA$698,0))</f>
        <v>1</v>
      </c>
      <c r="M165" s="6">
        <f>INDEX('[1]RTO Register'!P$2:P$698,MATCH($A165,'[1]RTO Register'!$AA$2:$AA$698,0))</f>
        <v>1</v>
      </c>
      <c r="N165" s="6">
        <f>INDEX('[1]RTO Register'!Q$2:Q$698,MATCH($A165,'[1]RTO Register'!$AA$2:$AA$698,0))</f>
        <v>1</v>
      </c>
      <c r="O165" s="6">
        <f>INDEX('[1]RTO Register'!R$2:R$698,MATCH($A165,'[1]RTO Register'!$AA$2:$AA$698,0))</f>
        <v>1</v>
      </c>
      <c r="P165" s="6">
        <f>INDEX('[1]RTO Register'!S$2:S$698,MATCH($A165,'[1]RTO Register'!$AA$2:$AA$698,0))</f>
        <v>1</v>
      </c>
      <c r="Q165" s="6">
        <f t="shared" si="5"/>
        <v>1</v>
      </c>
    </row>
    <row r="166" spans="1:17" x14ac:dyDescent="0.25">
      <c r="A166" t="str">
        <v>41594</v>
      </c>
      <c r="B166" t="str">
        <v>Altus Training Pty Ltd</v>
      </c>
      <c r="C166" t="str">
        <v>CivilEdge</v>
      </c>
      <c r="D166" t="str">
        <f>VLOOKUP(A166,'[1]RTO Register'!AA$2:AH663,8,FALSE)</f>
        <v>2113</v>
      </c>
      <c r="E166" s="8" t="s">
        <v>181</v>
      </c>
      <c r="F166" s="1" t="str">
        <f t="shared" si="4"/>
        <v/>
      </c>
      <c r="G166" s="1" t="str">
        <f>IFERROR(IF(INDEX('[1]RTO Register'!AP$2:AP$698,MATCH($A166,'[1]RTO Register'!$AA$2:$AA$698,0))="Yes","School",""),"")</f>
        <v/>
      </c>
      <c r="H166" s="6">
        <f>INDEX('[1]RTO Register'!K$2:K$698,MATCH($A166,'[1]RTO Register'!$AA$2:$AA$698,0))</f>
        <v>1</v>
      </c>
      <c r="I166" s="6">
        <f>INDEX('[1]RTO Register'!L$2:L$698,MATCH($A166,'[1]RTO Register'!$AA$2:$AA$698,0))</f>
        <v>1</v>
      </c>
      <c r="J166" s="6">
        <f>INDEX('[1]RTO Register'!M$2:M$698,MATCH($A166,'[1]RTO Register'!$AA$2:$AA$698,0))</f>
        <v>1</v>
      </c>
      <c r="K166" s="6">
        <f>INDEX('[1]RTO Register'!N$2:N$698,MATCH($A166,'[1]RTO Register'!$AA$2:$AA$698,0))</f>
        <v>1</v>
      </c>
      <c r="L166" s="6">
        <f>INDEX('[1]RTO Register'!O$2:O$698,MATCH($A166,'[1]RTO Register'!$AA$2:$AA$698,0))</f>
        <v>1</v>
      </c>
      <c r="M166" s="6">
        <f>INDEX('[1]RTO Register'!P$2:P$698,MATCH($A166,'[1]RTO Register'!$AA$2:$AA$698,0))</f>
        <v>1</v>
      </c>
      <c r="N166" s="6">
        <f>INDEX('[1]RTO Register'!Q$2:Q$698,MATCH($A166,'[1]RTO Register'!$AA$2:$AA$698,0))</f>
        <v>1</v>
      </c>
      <c r="O166" s="6">
        <f>INDEX('[1]RTO Register'!R$2:R$698,MATCH($A166,'[1]RTO Register'!$AA$2:$AA$698,0))</f>
        <v>1</v>
      </c>
      <c r="P166" s="6">
        <f>INDEX('[1]RTO Register'!S$2:S$698,MATCH($A166,'[1]RTO Register'!$AA$2:$AA$698,0))</f>
        <v>1</v>
      </c>
      <c r="Q166" s="6">
        <f t="shared" si="5"/>
        <v>1</v>
      </c>
    </row>
    <row r="167" spans="1:17" x14ac:dyDescent="0.25">
      <c r="A167" t="str">
        <v>45028</v>
      </c>
      <c r="B167" t="str">
        <v>Gold Coast International College Pty. Ltd.</v>
      </c>
      <c r="C167" t="str">
        <v>Gold Coast International College</v>
      </c>
      <c r="D167" t="str">
        <f>VLOOKUP(A167,'[1]RTO Register'!AA$2:AH664,8,FALSE)</f>
        <v>4220</v>
      </c>
      <c r="E167" s="8" t="s">
        <v>182</v>
      </c>
      <c r="F167" s="1" t="str">
        <f t="shared" si="4"/>
        <v/>
      </c>
      <c r="G167" s="1" t="str">
        <f>IFERROR(IF(INDEX('[1]RTO Register'!AP$2:AP$698,MATCH($A167,'[1]RTO Register'!$AA$2:$AA$698,0))="Yes","School",""),"")</f>
        <v/>
      </c>
      <c r="H167" s="6">
        <f>INDEX('[1]RTO Register'!K$2:K$698,MATCH($A167,'[1]RTO Register'!$AA$2:$AA$698,0))</f>
        <v>1</v>
      </c>
      <c r="I167" s="6">
        <f>INDEX('[1]RTO Register'!L$2:L$698,MATCH($A167,'[1]RTO Register'!$AA$2:$AA$698,0))</f>
        <v>1</v>
      </c>
      <c r="J167" s="6">
        <f>INDEX('[1]RTO Register'!M$2:M$698,MATCH($A167,'[1]RTO Register'!$AA$2:$AA$698,0))</f>
        <v>1</v>
      </c>
      <c r="K167" s="6">
        <f>INDEX('[1]RTO Register'!N$2:N$698,MATCH($A167,'[1]RTO Register'!$AA$2:$AA$698,0))</f>
        <v>1</v>
      </c>
      <c r="L167" s="6">
        <f>INDEX('[1]RTO Register'!O$2:O$698,MATCH($A167,'[1]RTO Register'!$AA$2:$AA$698,0))</f>
        <v>1</v>
      </c>
      <c r="M167" s="6">
        <f>INDEX('[1]RTO Register'!P$2:P$698,MATCH($A167,'[1]RTO Register'!$AA$2:$AA$698,0))</f>
        <v>1</v>
      </c>
      <c r="N167" s="6">
        <f>INDEX('[1]RTO Register'!Q$2:Q$698,MATCH($A167,'[1]RTO Register'!$AA$2:$AA$698,0))</f>
        <v>1</v>
      </c>
      <c r="O167" s="6">
        <f>INDEX('[1]RTO Register'!R$2:R$698,MATCH($A167,'[1]RTO Register'!$AA$2:$AA$698,0))</f>
        <v>1</v>
      </c>
      <c r="P167" s="6">
        <f>INDEX('[1]RTO Register'!S$2:S$698,MATCH($A167,'[1]RTO Register'!$AA$2:$AA$698,0))</f>
        <v>1</v>
      </c>
      <c r="Q167" s="6">
        <f t="shared" si="5"/>
        <v>1</v>
      </c>
    </row>
    <row r="168" spans="1:17" x14ac:dyDescent="0.25">
      <c r="A168" t="str">
        <v>45132</v>
      </c>
      <c r="B168" t="str">
        <v>Great Training Academy Pty Ltd</v>
      </c>
      <c r="C168" t="str">
        <v>A1 Australian Academy</v>
      </c>
      <c r="D168" t="str">
        <f>VLOOKUP(A168,'[1]RTO Register'!AA$2:AH665,8,FALSE)</f>
        <v>4122</v>
      </c>
      <c r="E168" s="8" t="s">
        <v>183</v>
      </c>
      <c r="F168" s="1" t="str">
        <f t="shared" si="4"/>
        <v/>
      </c>
      <c r="G168" s="1" t="str">
        <f>IFERROR(IF(INDEX('[1]RTO Register'!AP$2:AP$698,MATCH($A168,'[1]RTO Register'!$AA$2:$AA$698,0))="Yes","School",""),"")</f>
        <v/>
      </c>
      <c r="H168" s="6">
        <f>INDEX('[1]RTO Register'!K$2:K$698,MATCH($A168,'[1]RTO Register'!$AA$2:$AA$698,0))</f>
        <v>1</v>
      </c>
      <c r="I168" s="6">
        <f>INDEX('[1]RTO Register'!L$2:L$698,MATCH($A168,'[1]RTO Register'!$AA$2:$AA$698,0))</f>
        <v>1</v>
      </c>
      <c r="J168" s="6">
        <f>INDEX('[1]RTO Register'!M$2:M$698,MATCH($A168,'[1]RTO Register'!$AA$2:$AA$698,0))</f>
        <v>1</v>
      </c>
      <c r="K168" s="6">
        <f>INDEX('[1]RTO Register'!N$2:N$698,MATCH($A168,'[1]RTO Register'!$AA$2:$AA$698,0))</f>
        <v>1</v>
      </c>
      <c r="L168" s="6">
        <f>INDEX('[1]RTO Register'!O$2:O$698,MATCH($A168,'[1]RTO Register'!$AA$2:$AA$698,0))</f>
        <v>1</v>
      </c>
      <c r="M168" s="6">
        <f>INDEX('[1]RTO Register'!P$2:P$698,MATCH($A168,'[1]RTO Register'!$AA$2:$AA$698,0))</f>
        <v>1</v>
      </c>
      <c r="N168" s="6">
        <f>INDEX('[1]RTO Register'!Q$2:Q$698,MATCH($A168,'[1]RTO Register'!$AA$2:$AA$698,0))</f>
        <v>1</v>
      </c>
      <c r="O168" s="6">
        <f>INDEX('[1]RTO Register'!R$2:R$698,MATCH($A168,'[1]RTO Register'!$AA$2:$AA$698,0))</f>
        <v>1</v>
      </c>
      <c r="P168" s="6">
        <f>INDEX('[1]RTO Register'!S$2:S$698,MATCH($A168,'[1]RTO Register'!$AA$2:$AA$698,0))</f>
        <v>1</v>
      </c>
      <c r="Q168" s="6">
        <f t="shared" si="5"/>
        <v>1</v>
      </c>
    </row>
    <row r="169" spans="1:17" x14ac:dyDescent="0.25">
      <c r="A169" t="str">
        <v>45144</v>
      </c>
      <c r="B169" t="str">
        <v>Talented Training Pty Ltd</v>
      </c>
      <c r="C169" t="str">
        <v>N/A</v>
      </c>
      <c r="D169" t="str">
        <f>VLOOKUP(A169,'[1]RTO Register'!AA$2:AH666,8,FALSE)</f>
        <v>4076</v>
      </c>
      <c r="E169" s="8" t="s">
        <v>184</v>
      </c>
      <c r="F169" s="1" t="str">
        <f t="shared" si="4"/>
        <v/>
      </c>
      <c r="G169" s="1" t="str">
        <f>IFERROR(IF(INDEX('[1]RTO Register'!AP$2:AP$698,MATCH($A169,'[1]RTO Register'!$AA$2:$AA$698,0))="Yes","School",""),"")</f>
        <v/>
      </c>
      <c r="H169" s="6">
        <f>INDEX('[1]RTO Register'!K$2:K$698,MATCH($A169,'[1]RTO Register'!$AA$2:$AA$698,0))</f>
        <v>44415</v>
      </c>
      <c r="I169" s="6">
        <f>INDEX('[1]RTO Register'!L$2:L$698,MATCH($A169,'[1]RTO Register'!$AA$2:$AA$698,0))</f>
        <v>1</v>
      </c>
      <c r="J169" s="6">
        <f>INDEX('[1]RTO Register'!M$2:M$698,MATCH($A169,'[1]RTO Register'!$AA$2:$AA$698,0))</f>
        <v>1</v>
      </c>
      <c r="K169" s="6">
        <f>INDEX('[1]RTO Register'!N$2:N$698,MATCH($A169,'[1]RTO Register'!$AA$2:$AA$698,0))</f>
        <v>44517</v>
      </c>
      <c r="L169" s="6">
        <f>INDEX('[1]RTO Register'!O$2:O$698,MATCH($A169,'[1]RTO Register'!$AA$2:$AA$698,0))</f>
        <v>1</v>
      </c>
      <c r="M169" s="6">
        <f>INDEX('[1]RTO Register'!P$2:P$698,MATCH($A169,'[1]RTO Register'!$AA$2:$AA$698,0))</f>
        <v>1</v>
      </c>
      <c r="N169" s="6">
        <f>INDEX('[1]RTO Register'!Q$2:Q$698,MATCH($A169,'[1]RTO Register'!$AA$2:$AA$698,0))</f>
        <v>1</v>
      </c>
      <c r="O169" s="6">
        <f>INDEX('[1]RTO Register'!R$2:R$698,MATCH($A169,'[1]RTO Register'!$AA$2:$AA$698,0))</f>
        <v>1</v>
      </c>
      <c r="P169" s="6">
        <f>INDEX('[1]RTO Register'!S$2:S$698,MATCH($A169,'[1]RTO Register'!$AA$2:$AA$698,0))</f>
        <v>1</v>
      </c>
      <c r="Q169" s="6">
        <f t="shared" si="5"/>
        <v>44517</v>
      </c>
    </row>
    <row r="170" spans="1:17" x14ac:dyDescent="0.25">
      <c r="A170" t="str">
        <v>45199</v>
      </c>
      <c r="B170" t="str">
        <v>Australian Liberty College Pty Ltd</v>
      </c>
      <c r="C170" t="str">
        <v>Liberty Construction College</v>
      </c>
      <c r="D170" t="str">
        <f>VLOOKUP(A170,'[1]RTO Register'!AA$2:AH667,8,FALSE)</f>
        <v>4172</v>
      </c>
      <c r="E170" s="8" t="s">
        <v>185</v>
      </c>
      <c r="F170" s="1" t="str">
        <f t="shared" si="4"/>
        <v/>
      </c>
      <c r="G170" s="1" t="str">
        <f>IFERROR(IF(INDEX('[1]RTO Register'!AP$2:AP$698,MATCH($A170,'[1]RTO Register'!$AA$2:$AA$698,0))="Yes","School",""),"")</f>
        <v/>
      </c>
      <c r="H170" s="6">
        <f>INDEX('[1]RTO Register'!K$2:K$698,MATCH($A170,'[1]RTO Register'!$AA$2:$AA$698,0))</f>
        <v>1</v>
      </c>
      <c r="I170" s="6">
        <f>INDEX('[1]RTO Register'!L$2:L$698,MATCH($A170,'[1]RTO Register'!$AA$2:$AA$698,0))</f>
        <v>1</v>
      </c>
      <c r="J170" s="6">
        <f>INDEX('[1]RTO Register'!M$2:M$698,MATCH($A170,'[1]RTO Register'!$AA$2:$AA$698,0))</f>
        <v>1</v>
      </c>
      <c r="K170" s="6">
        <f>INDEX('[1]RTO Register'!N$2:N$698,MATCH($A170,'[1]RTO Register'!$AA$2:$AA$698,0))</f>
        <v>1</v>
      </c>
      <c r="L170" s="6">
        <f>INDEX('[1]RTO Register'!O$2:O$698,MATCH($A170,'[1]RTO Register'!$AA$2:$AA$698,0))</f>
        <v>1</v>
      </c>
      <c r="M170" s="6">
        <f>INDEX('[1]RTO Register'!P$2:P$698,MATCH($A170,'[1]RTO Register'!$AA$2:$AA$698,0))</f>
        <v>1</v>
      </c>
      <c r="N170" s="6">
        <f>INDEX('[1]RTO Register'!Q$2:Q$698,MATCH($A170,'[1]RTO Register'!$AA$2:$AA$698,0))</f>
        <v>1</v>
      </c>
      <c r="O170" s="6">
        <f>INDEX('[1]RTO Register'!R$2:R$698,MATCH($A170,'[1]RTO Register'!$AA$2:$AA$698,0))</f>
        <v>1</v>
      </c>
      <c r="P170" s="6">
        <f>INDEX('[1]RTO Register'!S$2:S$698,MATCH($A170,'[1]RTO Register'!$AA$2:$AA$698,0))</f>
        <v>1</v>
      </c>
      <c r="Q170" s="6">
        <f t="shared" si="5"/>
        <v>1</v>
      </c>
    </row>
    <row r="171" spans="1:17" x14ac:dyDescent="0.25">
      <c r="A171" t="str">
        <v>45256</v>
      </c>
      <c r="B171" t="str">
        <v>Advanced-Forward Pty Ltd</v>
      </c>
      <c r="C171" t="str">
        <v>Advance-Forward RTO</v>
      </c>
      <c r="D171" t="str">
        <f>VLOOKUP(A171,'[1]RTO Register'!AA$2:AH668,8,FALSE)</f>
        <v>4127</v>
      </c>
      <c r="E171" s="8" t="s">
        <v>186</v>
      </c>
      <c r="F171" s="1" t="str">
        <f t="shared" si="4"/>
        <v/>
      </c>
      <c r="G171" s="1" t="str">
        <f>IFERROR(IF(INDEX('[1]RTO Register'!AP$2:AP$698,MATCH($A171,'[1]RTO Register'!$AA$2:$AA$698,0))="Yes","School",""),"")</f>
        <v/>
      </c>
      <c r="H171" s="6">
        <f>INDEX('[1]RTO Register'!K$2:K$698,MATCH($A171,'[1]RTO Register'!$AA$2:$AA$698,0))</f>
        <v>1</v>
      </c>
      <c r="I171" s="6">
        <f>INDEX('[1]RTO Register'!L$2:L$698,MATCH($A171,'[1]RTO Register'!$AA$2:$AA$698,0))</f>
        <v>1</v>
      </c>
      <c r="J171" s="6">
        <f>INDEX('[1]RTO Register'!M$2:M$698,MATCH($A171,'[1]RTO Register'!$AA$2:$AA$698,0))</f>
        <v>1</v>
      </c>
      <c r="K171" s="6">
        <f>INDEX('[1]RTO Register'!N$2:N$698,MATCH($A171,'[1]RTO Register'!$AA$2:$AA$698,0))</f>
        <v>1</v>
      </c>
      <c r="L171" s="6">
        <f>INDEX('[1]RTO Register'!O$2:O$698,MATCH($A171,'[1]RTO Register'!$AA$2:$AA$698,0))</f>
        <v>1</v>
      </c>
      <c r="M171" s="6">
        <f>INDEX('[1]RTO Register'!P$2:P$698,MATCH($A171,'[1]RTO Register'!$AA$2:$AA$698,0))</f>
        <v>1</v>
      </c>
      <c r="N171" s="6">
        <f>INDEX('[1]RTO Register'!Q$2:Q$698,MATCH($A171,'[1]RTO Register'!$AA$2:$AA$698,0))</f>
        <v>1</v>
      </c>
      <c r="O171" s="6">
        <f>INDEX('[1]RTO Register'!R$2:R$698,MATCH($A171,'[1]RTO Register'!$AA$2:$AA$698,0))</f>
        <v>1</v>
      </c>
      <c r="P171" s="6">
        <f>INDEX('[1]RTO Register'!S$2:S$698,MATCH($A171,'[1]RTO Register'!$AA$2:$AA$698,0))</f>
        <v>1</v>
      </c>
      <c r="Q171" s="6">
        <f t="shared" si="5"/>
        <v>1</v>
      </c>
    </row>
    <row r="172" spans="1:17" x14ac:dyDescent="0.25">
      <c r="A172" t="str">
        <v>45281</v>
      </c>
      <c r="B172" t="str">
        <v>Spencer Technical College Pty Ltd</v>
      </c>
      <c r="C172" t="str">
        <v>N/A</v>
      </c>
      <c r="D172" t="str">
        <f>VLOOKUP(A172,'[1]RTO Register'!AA$2:AH669,8,FALSE)</f>
        <v>4000</v>
      </c>
      <c r="E172" s="8" t="s">
        <v>187</v>
      </c>
      <c r="F172" s="1" t="str">
        <f t="shared" si="4"/>
        <v/>
      </c>
      <c r="G172" s="1" t="str">
        <f>IFERROR(IF(INDEX('[1]RTO Register'!AP$2:AP$698,MATCH($A172,'[1]RTO Register'!$AA$2:$AA$698,0))="Yes","School",""),"")</f>
        <v/>
      </c>
      <c r="H172" s="6">
        <f>INDEX('[1]RTO Register'!K$2:K$698,MATCH($A172,'[1]RTO Register'!$AA$2:$AA$698,0))</f>
        <v>1</v>
      </c>
      <c r="I172" s="6">
        <f>INDEX('[1]RTO Register'!L$2:L$698,MATCH($A172,'[1]RTO Register'!$AA$2:$AA$698,0))</f>
        <v>1</v>
      </c>
      <c r="J172" s="6">
        <f>INDEX('[1]RTO Register'!M$2:M$698,MATCH($A172,'[1]RTO Register'!$AA$2:$AA$698,0))</f>
        <v>1</v>
      </c>
      <c r="K172" s="6">
        <f>INDEX('[1]RTO Register'!N$2:N$698,MATCH($A172,'[1]RTO Register'!$AA$2:$AA$698,0))</f>
        <v>1</v>
      </c>
      <c r="L172" s="6">
        <f>INDEX('[1]RTO Register'!O$2:O$698,MATCH($A172,'[1]RTO Register'!$AA$2:$AA$698,0))</f>
        <v>1</v>
      </c>
      <c r="M172" s="6">
        <f>INDEX('[1]RTO Register'!P$2:P$698,MATCH($A172,'[1]RTO Register'!$AA$2:$AA$698,0))</f>
        <v>1</v>
      </c>
      <c r="N172" s="6">
        <f>INDEX('[1]RTO Register'!Q$2:Q$698,MATCH($A172,'[1]RTO Register'!$AA$2:$AA$698,0))</f>
        <v>1</v>
      </c>
      <c r="O172" s="6">
        <f>INDEX('[1]RTO Register'!R$2:R$698,MATCH($A172,'[1]RTO Register'!$AA$2:$AA$698,0))</f>
        <v>1</v>
      </c>
      <c r="P172" s="6">
        <f>INDEX('[1]RTO Register'!S$2:S$698,MATCH($A172,'[1]RTO Register'!$AA$2:$AA$698,0))</f>
        <v>1</v>
      </c>
      <c r="Q172" s="6">
        <f t="shared" si="5"/>
        <v>1</v>
      </c>
    </row>
    <row r="173" spans="1:17" x14ac:dyDescent="0.25">
      <c r="A173" t="str">
        <v>45310</v>
      </c>
      <c r="B173" t="str">
        <v>Australian College of Skills &amp; Education Pty Ltd</v>
      </c>
      <c r="C173" t="str">
        <v>Australian College of Skills &amp; Education</v>
      </c>
      <c r="D173" t="str">
        <f>VLOOKUP(A173,'[1]RTO Register'!AA$2:AH670,8,FALSE)</f>
        <v>2766</v>
      </c>
      <c r="E173" s="8" t="s">
        <v>188</v>
      </c>
      <c r="F173" s="1" t="str">
        <f t="shared" si="4"/>
        <v/>
      </c>
      <c r="G173" s="1" t="str">
        <f>IFERROR(IF(INDEX('[1]RTO Register'!AP$2:AP$698,MATCH($A173,'[1]RTO Register'!$AA$2:$AA$698,0))="Yes","School",""),"")</f>
        <v/>
      </c>
      <c r="H173" s="6">
        <f>INDEX('[1]RTO Register'!K$2:K$698,MATCH($A173,'[1]RTO Register'!$AA$2:$AA$698,0))</f>
        <v>44424</v>
      </c>
      <c r="I173" s="6">
        <f>INDEX('[1]RTO Register'!L$2:L$698,MATCH($A173,'[1]RTO Register'!$AA$2:$AA$698,0))</f>
        <v>1</v>
      </c>
      <c r="J173" s="6">
        <f>INDEX('[1]RTO Register'!M$2:M$698,MATCH($A173,'[1]RTO Register'!$AA$2:$AA$698,0))</f>
        <v>1</v>
      </c>
      <c r="K173" s="6">
        <f>INDEX('[1]RTO Register'!N$2:N$698,MATCH($A173,'[1]RTO Register'!$AA$2:$AA$698,0))</f>
        <v>1</v>
      </c>
      <c r="L173" s="6">
        <f>INDEX('[1]RTO Register'!O$2:O$698,MATCH($A173,'[1]RTO Register'!$AA$2:$AA$698,0))</f>
        <v>1</v>
      </c>
      <c r="M173" s="6">
        <f>INDEX('[1]RTO Register'!P$2:P$698,MATCH($A173,'[1]RTO Register'!$AA$2:$AA$698,0))</f>
        <v>1</v>
      </c>
      <c r="N173" s="6">
        <f>INDEX('[1]RTO Register'!Q$2:Q$698,MATCH($A173,'[1]RTO Register'!$AA$2:$AA$698,0))</f>
        <v>1</v>
      </c>
      <c r="O173" s="6">
        <f>INDEX('[1]RTO Register'!R$2:R$698,MATCH($A173,'[1]RTO Register'!$AA$2:$AA$698,0))</f>
        <v>1</v>
      </c>
      <c r="P173" s="6">
        <f>INDEX('[1]RTO Register'!S$2:S$698,MATCH($A173,'[1]RTO Register'!$AA$2:$AA$698,0))</f>
        <v>1</v>
      </c>
      <c r="Q173" s="6">
        <f t="shared" si="5"/>
        <v>44424</v>
      </c>
    </row>
    <row r="174" spans="1:17" x14ac:dyDescent="0.25">
      <c r="A174" t="str">
        <v>45370</v>
      </c>
      <c r="B174" t="str">
        <v>ACTA Group Pty Ltd</v>
      </c>
      <c r="C174" t="str">
        <v>N/A</v>
      </c>
      <c r="D174" t="str">
        <f>VLOOKUP(A174,'[1]RTO Register'!AA$2:AH671,8,FALSE)</f>
        <v>4220</v>
      </c>
      <c r="E174" s="8" t="s">
        <v>189</v>
      </c>
      <c r="F174" s="1" t="str">
        <f t="shared" si="4"/>
        <v/>
      </c>
      <c r="G174" s="1" t="str">
        <f>IFERROR(IF(INDEX('[1]RTO Register'!AP$2:AP$698,MATCH($A174,'[1]RTO Register'!$AA$2:$AA$698,0))="Yes","School",""),"")</f>
        <v/>
      </c>
      <c r="H174" s="6">
        <f>INDEX('[1]RTO Register'!K$2:K$698,MATCH($A174,'[1]RTO Register'!$AA$2:$AA$698,0))</f>
        <v>1</v>
      </c>
      <c r="I174" s="6">
        <f>INDEX('[1]RTO Register'!L$2:L$698,MATCH($A174,'[1]RTO Register'!$AA$2:$AA$698,0))</f>
        <v>1</v>
      </c>
      <c r="J174" s="6">
        <f>INDEX('[1]RTO Register'!M$2:M$698,MATCH($A174,'[1]RTO Register'!$AA$2:$AA$698,0))</f>
        <v>1</v>
      </c>
      <c r="K174" s="6">
        <f>INDEX('[1]RTO Register'!N$2:N$698,MATCH($A174,'[1]RTO Register'!$AA$2:$AA$698,0))</f>
        <v>1</v>
      </c>
      <c r="L174" s="6">
        <f>INDEX('[1]RTO Register'!O$2:O$698,MATCH($A174,'[1]RTO Register'!$AA$2:$AA$698,0))</f>
        <v>1</v>
      </c>
      <c r="M174" s="6">
        <f>INDEX('[1]RTO Register'!P$2:P$698,MATCH($A174,'[1]RTO Register'!$AA$2:$AA$698,0))</f>
        <v>1</v>
      </c>
      <c r="N174" s="6">
        <f>INDEX('[1]RTO Register'!Q$2:Q$698,MATCH($A174,'[1]RTO Register'!$AA$2:$AA$698,0))</f>
        <v>1</v>
      </c>
      <c r="O174" s="6">
        <f>INDEX('[1]RTO Register'!R$2:R$698,MATCH($A174,'[1]RTO Register'!$AA$2:$AA$698,0))</f>
        <v>1</v>
      </c>
      <c r="P174" s="6">
        <f>INDEX('[1]RTO Register'!S$2:S$698,MATCH($A174,'[1]RTO Register'!$AA$2:$AA$698,0))</f>
        <v>1</v>
      </c>
      <c r="Q174" s="6">
        <f t="shared" si="5"/>
        <v>1</v>
      </c>
    </row>
    <row r="175" spans="1:17" x14ac:dyDescent="0.25">
      <c r="A175" t="str">
        <v>45416</v>
      </c>
      <c r="B175" t="str">
        <v>Pinnacle Training Pty Ltd</v>
      </c>
      <c r="C175" t="str">
        <v>N/A</v>
      </c>
      <c r="D175" t="str">
        <f>VLOOKUP(A175,'[1]RTO Register'!AA$2:AH672,8,FALSE)</f>
        <v>4570</v>
      </c>
      <c r="E175" s="8" t="s">
        <v>190</v>
      </c>
      <c r="F175" s="1" t="str">
        <f t="shared" si="4"/>
        <v/>
      </c>
      <c r="G175" s="1" t="str">
        <f>IFERROR(IF(INDEX('[1]RTO Register'!AP$2:AP$698,MATCH($A175,'[1]RTO Register'!$AA$2:$AA$698,0))="Yes","School",""),"")</f>
        <v/>
      </c>
      <c r="H175" s="6">
        <f>INDEX('[1]RTO Register'!K$2:K$698,MATCH($A175,'[1]RTO Register'!$AA$2:$AA$698,0))</f>
        <v>1</v>
      </c>
      <c r="I175" s="6">
        <f>INDEX('[1]RTO Register'!L$2:L$698,MATCH($A175,'[1]RTO Register'!$AA$2:$AA$698,0))</f>
        <v>1</v>
      </c>
      <c r="J175" s="6">
        <f>INDEX('[1]RTO Register'!M$2:M$698,MATCH($A175,'[1]RTO Register'!$AA$2:$AA$698,0))</f>
        <v>1</v>
      </c>
      <c r="K175" s="6">
        <f>INDEX('[1]RTO Register'!N$2:N$698,MATCH($A175,'[1]RTO Register'!$AA$2:$AA$698,0))</f>
        <v>1</v>
      </c>
      <c r="L175" s="6">
        <f>INDEX('[1]RTO Register'!O$2:O$698,MATCH($A175,'[1]RTO Register'!$AA$2:$AA$698,0))</f>
        <v>1</v>
      </c>
      <c r="M175" s="6">
        <f>INDEX('[1]RTO Register'!P$2:P$698,MATCH($A175,'[1]RTO Register'!$AA$2:$AA$698,0))</f>
        <v>1</v>
      </c>
      <c r="N175" s="6">
        <f>INDEX('[1]RTO Register'!Q$2:Q$698,MATCH($A175,'[1]RTO Register'!$AA$2:$AA$698,0))</f>
        <v>1</v>
      </c>
      <c r="O175" s="6">
        <f>INDEX('[1]RTO Register'!R$2:R$698,MATCH($A175,'[1]RTO Register'!$AA$2:$AA$698,0))</f>
        <v>1</v>
      </c>
      <c r="P175" s="6">
        <f>INDEX('[1]RTO Register'!S$2:S$698,MATCH($A175,'[1]RTO Register'!$AA$2:$AA$698,0))</f>
        <v>1</v>
      </c>
      <c r="Q175" s="6">
        <f t="shared" si="5"/>
        <v>1</v>
      </c>
    </row>
    <row r="176" spans="1:17" x14ac:dyDescent="0.25">
      <c r="A176" t="str">
        <v>45438</v>
      </c>
      <c r="B176" t="str">
        <v>National Skills Pty Ltd</v>
      </c>
      <c r="C176" t="str">
        <v>N/A</v>
      </c>
      <c r="D176" t="str">
        <f>VLOOKUP(A176,'[1]RTO Register'!AA$2:AH673,8,FALSE)</f>
        <v>4130</v>
      </c>
      <c r="E176" s="8" t="s">
        <v>191</v>
      </c>
      <c r="F176" s="1" t="str">
        <f t="shared" si="4"/>
        <v/>
      </c>
      <c r="G176" s="1" t="str">
        <f>IFERROR(IF(INDEX('[1]RTO Register'!AP$2:AP$698,MATCH($A176,'[1]RTO Register'!$AA$2:$AA$698,0))="Yes","School",""),"")</f>
        <v/>
      </c>
      <c r="H176" s="6">
        <f>INDEX('[1]RTO Register'!K$2:K$698,MATCH($A176,'[1]RTO Register'!$AA$2:$AA$698,0))</f>
        <v>1</v>
      </c>
      <c r="I176" s="6">
        <f>INDEX('[1]RTO Register'!L$2:L$698,MATCH($A176,'[1]RTO Register'!$AA$2:$AA$698,0))</f>
        <v>1</v>
      </c>
      <c r="J176" s="6">
        <f>INDEX('[1]RTO Register'!M$2:M$698,MATCH($A176,'[1]RTO Register'!$AA$2:$AA$698,0))</f>
        <v>1</v>
      </c>
      <c r="K176" s="6">
        <f>INDEX('[1]RTO Register'!N$2:N$698,MATCH($A176,'[1]RTO Register'!$AA$2:$AA$698,0))</f>
        <v>1</v>
      </c>
      <c r="L176" s="6">
        <f>INDEX('[1]RTO Register'!O$2:O$698,MATCH($A176,'[1]RTO Register'!$AA$2:$AA$698,0))</f>
        <v>1</v>
      </c>
      <c r="M176" s="6">
        <f>INDEX('[1]RTO Register'!P$2:P$698,MATCH($A176,'[1]RTO Register'!$AA$2:$AA$698,0))</f>
        <v>1</v>
      </c>
      <c r="N176" s="6">
        <f>INDEX('[1]RTO Register'!Q$2:Q$698,MATCH($A176,'[1]RTO Register'!$AA$2:$AA$698,0))</f>
        <v>1</v>
      </c>
      <c r="O176" s="6">
        <f>INDEX('[1]RTO Register'!R$2:R$698,MATCH($A176,'[1]RTO Register'!$AA$2:$AA$698,0))</f>
        <v>1</v>
      </c>
      <c r="P176" s="6">
        <f>INDEX('[1]RTO Register'!S$2:S$698,MATCH($A176,'[1]RTO Register'!$AA$2:$AA$698,0))</f>
        <v>1</v>
      </c>
      <c r="Q176" s="6">
        <f t="shared" si="5"/>
        <v>1</v>
      </c>
    </row>
    <row r="177" spans="1:17" x14ac:dyDescent="0.25">
      <c r="A177" t="str">
        <v>45446</v>
      </c>
      <c r="B177" t="str">
        <v>Burpengary State Secondary College</v>
      </c>
      <c r="C177" t="str">
        <v>Burpengary State Secondary College</v>
      </c>
      <c r="D177" t="str">
        <f>VLOOKUP(A177,'[1]RTO Register'!AA$2:AH674,8,FALSE)</f>
        <v>4505</v>
      </c>
      <c r="E177" s="8" t="s">
        <v>192</v>
      </c>
      <c r="F177" s="1" t="str">
        <f t="shared" si="4"/>
        <v/>
      </c>
      <c r="G177" s="1" t="str">
        <f>IFERROR(IF(INDEX('[1]RTO Register'!AP$2:AP$698,MATCH($A177,'[1]RTO Register'!$AA$2:$AA$698,0))="Yes","School",""),"")</f>
        <v>School</v>
      </c>
      <c r="H177" s="6">
        <f>INDEX('[1]RTO Register'!K$2:K$698,MATCH($A177,'[1]RTO Register'!$AA$2:$AA$698,0))</f>
        <v>1</v>
      </c>
      <c r="I177" s="6">
        <f>INDEX('[1]RTO Register'!L$2:L$698,MATCH($A177,'[1]RTO Register'!$AA$2:$AA$698,0))</f>
        <v>1</v>
      </c>
      <c r="J177" s="6">
        <f>INDEX('[1]RTO Register'!M$2:M$698,MATCH($A177,'[1]RTO Register'!$AA$2:$AA$698,0))</f>
        <v>1</v>
      </c>
      <c r="K177" s="6">
        <f>INDEX('[1]RTO Register'!N$2:N$698,MATCH($A177,'[1]RTO Register'!$AA$2:$AA$698,0))</f>
        <v>1</v>
      </c>
      <c r="L177" s="6">
        <f>INDEX('[1]RTO Register'!O$2:O$698,MATCH($A177,'[1]RTO Register'!$AA$2:$AA$698,0))</f>
        <v>1</v>
      </c>
      <c r="M177" s="6">
        <f>INDEX('[1]RTO Register'!P$2:P$698,MATCH($A177,'[1]RTO Register'!$AA$2:$AA$698,0))</f>
        <v>1</v>
      </c>
      <c r="N177" s="6">
        <f>INDEX('[1]RTO Register'!Q$2:Q$698,MATCH($A177,'[1]RTO Register'!$AA$2:$AA$698,0))</f>
        <v>1</v>
      </c>
      <c r="O177" s="6">
        <f>INDEX('[1]RTO Register'!R$2:R$698,MATCH($A177,'[1]RTO Register'!$AA$2:$AA$698,0))</f>
        <v>1</v>
      </c>
      <c r="P177" s="6">
        <f>INDEX('[1]RTO Register'!S$2:S$698,MATCH($A177,'[1]RTO Register'!$AA$2:$AA$698,0))</f>
        <v>1</v>
      </c>
      <c r="Q177" s="6">
        <f t="shared" si="5"/>
        <v>1</v>
      </c>
    </row>
    <row r="178" spans="1:17" x14ac:dyDescent="0.25">
      <c r="A178" t="str">
        <v>45483</v>
      </c>
      <c r="B178" t="str">
        <v>Link Resources Training Pty Ltd</v>
      </c>
      <c r="C178" t="str">
        <v>Link Resources Pty Ltd</v>
      </c>
      <c r="D178" t="str">
        <f>VLOOKUP(A178,'[1]RTO Register'!AA$2:AH675,8,FALSE)</f>
        <v>4575</v>
      </c>
      <c r="E178" s="8" t="s">
        <v>193</v>
      </c>
      <c r="F178" s="1" t="str">
        <f t="shared" si="4"/>
        <v/>
      </c>
      <c r="G178" s="1" t="str">
        <f>IFERROR(IF(INDEX('[1]RTO Register'!AP$2:AP$698,MATCH($A178,'[1]RTO Register'!$AA$2:$AA$698,0))="Yes","School",""),"")</f>
        <v/>
      </c>
      <c r="H178" s="6">
        <f>INDEX('[1]RTO Register'!K$2:K$698,MATCH($A178,'[1]RTO Register'!$AA$2:$AA$698,0))</f>
        <v>43959</v>
      </c>
      <c r="I178" s="6">
        <f>INDEX('[1]RTO Register'!L$2:L$698,MATCH($A178,'[1]RTO Register'!$AA$2:$AA$698,0))</f>
        <v>1</v>
      </c>
      <c r="J178" s="6">
        <f>INDEX('[1]RTO Register'!M$2:M$698,MATCH($A178,'[1]RTO Register'!$AA$2:$AA$698,0))</f>
        <v>1</v>
      </c>
      <c r="K178" s="6">
        <f>INDEX('[1]RTO Register'!N$2:N$698,MATCH($A178,'[1]RTO Register'!$AA$2:$AA$698,0))</f>
        <v>1</v>
      </c>
      <c r="L178" s="6">
        <f>INDEX('[1]RTO Register'!O$2:O$698,MATCH($A178,'[1]RTO Register'!$AA$2:$AA$698,0))</f>
        <v>43980</v>
      </c>
      <c r="M178" s="6">
        <f>INDEX('[1]RTO Register'!P$2:P$698,MATCH($A178,'[1]RTO Register'!$AA$2:$AA$698,0))</f>
        <v>1</v>
      </c>
      <c r="N178" s="6">
        <f>INDEX('[1]RTO Register'!Q$2:Q$698,MATCH($A178,'[1]RTO Register'!$AA$2:$AA$698,0))</f>
        <v>1</v>
      </c>
      <c r="O178" s="6">
        <f>INDEX('[1]RTO Register'!R$2:R$698,MATCH($A178,'[1]RTO Register'!$AA$2:$AA$698,0))</f>
        <v>1</v>
      </c>
      <c r="P178" s="6">
        <f>INDEX('[1]RTO Register'!S$2:S$698,MATCH($A178,'[1]RTO Register'!$AA$2:$AA$698,0))</f>
        <v>1</v>
      </c>
      <c r="Q178" s="6">
        <f t="shared" si="5"/>
        <v>43980</v>
      </c>
    </row>
    <row r="179" spans="1:17" x14ac:dyDescent="0.25">
      <c r="A179" t="str">
        <v>45546</v>
      </c>
      <c r="B179" t="str">
        <v>Positive Training Academy Pty Ltd</v>
      </c>
      <c r="C179" t="str">
        <v xml:space="preserve">  N/A</v>
      </c>
      <c r="D179" t="str">
        <f>VLOOKUP(A179,'[1]RTO Register'!AA$2:AH676,8,FALSE)</f>
        <v>3074</v>
      </c>
      <c r="E179" s="8" t="s">
        <v>194</v>
      </c>
      <c r="F179" s="1" t="str">
        <f t="shared" si="4"/>
        <v/>
      </c>
      <c r="G179" s="1" t="str">
        <f>IFERROR(IF(INDEX('[1]RTO Register'!AP$2:AP$698,MATCH($A179,'[1]RTO Register'!$AA$2:$AA$698,0))="Yes","School",""),"")</f>
        <v/>
      </c>
      <c r="H179" s="6">
        <f>INDEX('[1]RTO Register'!K$2:K$698,MATCH($A179,'[1]RTO Register'!$AA$2:$AA$698,0))</f>
        <v>44257</v>
      </c>
      <c r="I179" s="6">
        <f>INDEX('[1]RTO Register'!L$2:L$698,MATCH($A179,'[1]RTO Register'!$AA$2:$AA$698,0))</f>
        <v>44335</v>
      </c>
      <c r="J179" s="6">
        <f>INDEX('[1]RTO Register'!M$2:M$698,MATCH($A179,'[1]RTO Register'!$AA$2:$AA$698,0))</f>
        <v>1</v>
      </c>
      <c r="K179" s="6">
        <f>INDEX('[1]RTO Register'!N$2:N$698,MATCH($A179,'[1]RTO Register'!$AA$2:$AA$698,0))</f>
        <v>1</v>
      </c>
      <c r="L179" s="6">
        <f>INDEX('[1]RTO Register'!O$2:O$698,MATCH($A179,'[1]RTO Register'!$AA$2:$AA$698,0))</f>
        <v>44350</v>
      </c>
      <c r="M179" s="6">
        <f>INDEX('[1]RTO Register'!P$2:P$698,MATCH($A179,'[1]RTO Register'!$AA$2:$AA$698,0))</f>
        <v>1</v>
      </c>
      <c r="N179" s="6">
        <f>INDEX('[1]RTO Register'!Q$2:Q$698,MATCH($A179,'[1]RTO Register'!$AA$2:$AA$698,0))</f>
        <v>1</v>
      </c>
      <c r="O179" s="6">
        <f>INDEX('[1]RTO Register'!R$2:R$698,MATCH($A179,'[1]RTO Register'!$AA$2:$AA$698,0))</f>
        <v>1</v>
      </c>
      <c r="P179" s="6">
        <f>INDEX('[1]RTO Register'!S$2:S$698,MATCH($A179,'[1]RTO Register'!$AA$2:$AA$698,0))</f>
        <v>1</v>
      </c>
      <c r="Q179" s="6">
        <f t="shared" si="5"/>
        <v>44350</v>
      </c>
    </row>
    <row r="180" spans="1:17" x14ac:dyDescent="0.25">
      <c r="A180" t="str">
        <v>45550</v>
      </c>
      <c r="B180" t="str">
        <v>Maryborough Christian Education Foundation Ltd</v>
      </c>
      <c r="C180" t="str">
        <v>Riverside Christian College</v>
      </c>
      <c r="D180" t="str">
        <f>VLOOKUP(A180,'[1]RTO Register'!AA$2:AH677,8,FALSE)</f>
        <v>4650</v>
      </c>
      <c r="E180" s="8" t="s">
        <v>195</v>
      </c>
      <c r="F180" s="1" t="str">
        <f t="shared" si="4"/>
        <v/>
      </c>
      <c r="G180" s="1" t="str">
        <f>IFERROR(IF(INDEX('[1]RTO Register'!AP$2:AP$698,MATCH($A180,'[1]RTO Register'!$AA$2:$AA$698,0))="Yes","School",""),"")</f>
        <v>School</v>
      </c>
      <c r="H180" s="6">
        <f>INDEX('[1]RTO Register'!K$2:K$698,MATCH($A180,'[1]RTO Register'!$AA$2:$AA$698,0))</f>
        <v>1</v>
      </c>
      <c r="I180" s="6">
        <f>INDEX('[1]RTO Register'!L$2:L$698,MATCH($A180,'[1]RTO Register'!$AA$2:$AA$698,0))</f>
        <v>1</v>
      </c>
      <c r="J180" s="6">
        <f>INDEX('[1]RTO Register'!M$2:M$698,MATCH($A180,'[1]RTO Register'!$AA$2:$AA$698,0))</f>
        <v>1</v>
      </c>
      <c r="K180" s="6">
        <f>INDEX('[1]RTO Register'!N$2:N$698,MATCH($A180,'[1]RTO Register'!$AA$2:$AA$698,0))</f>
        <v>1</v>
      </c>
      <c r="L180" s="6">
        <f>INDEX('[1]RTO Register'!O$2:O$698,MATCH($A180,'[1]RTO Register'!$AA$2:$AA$698,0))</f>
        <v>1</v>
      </c>
      <c r="M180" s="6">
        <f>INDEX('[1]RTO Register'!P$2:P$698,MATCH($A180,'[1]RTO Register'!$AA$2:$AA$698,0))</f>
        <v>1</v>
      </c>
      <c r="N180" s="6">
        <f>INDEX('[1]RTO Register'!Q$2:Q$698,MATCH($A180,'[1]RTO Register'!$AA$2:$AA$698,0))</f>
        <v>1</v>
      </c>
      <c r="O180" s="6">
        <f>INDEX('[1]RTO Register'!R$2:R$698,MATCH($A180,'[1]RTO Register'!$AA$2:$AA$698,0))</f>
        <v>1</v>
      </c>
      <c r="P180" s="6">
        <f>INDEX('[1]RTO Register'!S$2:S$698,MATCH($A180,'[1]RTO Register'!$AA$2:$AA$698,0))</f>
        <v>1</v>
      </c>
      <c r="Q180" s="6">
        <f t="shared" si="5"/>
        <v>1</v>
      </c>
    </row>
    <row r="181" spans="1:17" x14ac:dyDescent="0.25">
      <c r="A181" t="str">
        <v>45555</v>
      </c>
      <c r="B181" t="str">
        <v>Accomplish Training Australia Pty Ltd</v>
      </c>
      <c r="C181" t="str">
        <v>Tradie Training</v>
      </c>
      <c r="D181" t="str">
        <f>VLOOKUP(A181,'[1]RTO Register'!AA$2:AH678,8,FALSE)</f>
        <v>4220</v>
      </c>
      <c r="E181" s="8" t="s">
        <v>196</v>
      </c>
      <c r="F181" s="1" t="str">
        <f t="shared" si="4"/>
        <v/>
      </c>
      <c r="G181" s="1" t="str">
        <f>IFERROR(IF(INDEX('[1]RTO Register'!AP$2:AP$698,MATCH($A181,'[1]RTO Register'!$AA$2:$AA$698,0))="Yes","School",""),"")</f>
        <v/>
      </c>
      <c r="H181" s="6">
        <f>INDEX('[1]RTO Register'!K$2:K$698,MATCH($A181,'[1]RTO Register'!$AA$2:$AA$698,0))</f>
        <v>1</v>
      </c>
      <c r="I181" s="6">
        <f>INDEX('[1]RTO Register'!L$2:L$698,MATCH($A181,'[1]RTO Register'!$AA$2:$AA$698,0))</f>
        <v>1</v>
      </c>
      <c r="J181" s="6">
        <f>INDEX('[1]RTO Register'!M$2:M$698,MATCH($A181,'[1]RTO Register'!$AA$2:$AA$698,0))</f>
        <v>1</v>
      </c>
      <c r="K181" s="6">
        <f>INDEX('[1]RTO Register'!N$2:N$698,MATCH($A181,'[1]RTO Register'!$AA$2:$AA$698,0))</f>
        <v>1</v>
      </c>
      <c r="L181" s="6">
        <f>INDEX('[1]RTO Register'!O$2:O$698,MATCH($A181,'[1]RTO Register'!$AA$2:$AA$698,0))</f>
        <v>1</v>
      </c>
      <c r="M181" s="6">
        <f>INDEX('[1]RTO Register'!P$2:P$698,MATCH($A181,'[1]RTO Register'!$AA$2:$AA$698,0))</f>
        <v>1</v>
      </c>
      <c r="N181" s="6">
        <f>INDEX('[1]RTO Register'!Q$2:Q$698,MATCH($A181,'[1]RTO Register'!$AA$2:$AA$698,0))</f>
        <v>1</v>
      </c>
      <c r="O181" s="6">
        <f>INDEX('[1]RTO Register'!R$2:R$698,MATCH($A181,'[1]RTO Register'!$AA$2:$AA$698,0))</f>
        <v>1</v>
      </c>
      <c r="P181" s="6">
        <f>INDEX('[1]RTO Register'!S$2:S$698,MATCH($A181,'[1]RTO Register'!$AA$2:$AA$698,0))</f>
        <v>1</v>
      </c>
      <c r="Q181" s="6">
        <f t="shared" si="5"/>
        <v>1</v>
      </c>
    </row>
    <row r="182" spans="1:17" x14ac:dyDescent="0.25">
      <c r="A182" t="str">
        <v>45597</v>
      </c>
      <c r="B182" t="str">
        <v>Sheer Workplace Training Pty Ltd</v>
      </c>
      <c r="C182" t="str">
        <v>N/A</v>
      </c>
      <c r="D182" t="str">
        <f>VLOOKUP(A182,'[1]RTO Register'!AA$2:AH679,8,FALSE)</f>
        <v>4174</v>
      </c>
      <c r="E182" s="8" t="s">
        <v>197</v>
      </c>
      <c r="F182" s="1" t="str">
        <f t="shared" si="4"/>
        <v/>
      </c>
      <c r="G182" s="1" t="str">
        <f>IFERROR(IF(INDEX('[1]RTO Register'!AP$2:AP$698,MATCH($A182,'[1]RTO Register'!$AA$2:$AA$698,0))="Yes","School",""),"")</f>
        <v/>
      </c>
      <c r="H182" s="6">
        <f>INDEX('[1]RTO Register'!K$2:K$698,MATCH($A182,'[1]RTO Register'!$AA$2:$AA$698,0))</f>
        <v>1</v>
      </c>
      <c r="I182" s="6">
        <f>INDEX('[1]RTO Register'!L$2:L$698,MATCH($A182,'[1]RTO Register'!$AA$2:$AA$698,0))</f>
        <v>1</v>
      </c>
      <c r="J182" s="6">
        <f>INDEX('[1]RTO Register'!M$2:M$698,MATCH($A182,'[1]RTO Register'!$AA$2:$AA$698,0))</f>
        <v>1</v>
      </c>
      <c r="K182" s="6">
        <f>INDEX('[1]RTO Register'!N$2:N$698,MATCH($A182,'[1]RTO Register'!$AA$2:$AA$698,0))</f>
        <v>1</v>
      </c>
      <c r="L182" s="6">
        <f>INDEX('[1]RTO Register'!O$2:O$698,MATCH($A182,'[1]RTO Register'!$AA$2:$AA$698,0))</f>
        <v>1</v>
      </c>
      <c r="M182" s="6">
        <f>INDEX('[1]RTO Register'!P$2:P$698,MATCH($A182,'[1]RTO Register'!$AA$2:$AA$698,0))</f>
        <v>1</v>
      </c>
      <c r="N182" s="6">
        <f>INDEX('[1]RTO Register'!Q$2:Q$698,MATCH($A182,'[1]RTO Register'!$AA$2:$AA$698,0))</f>
        <v>1</v>
      </c>
      <c r="O182" s="6">
        <f>INDEX('[1]RTO Register'!R$2:R$698,MATCH($A182,'[1]RTO Register'!$AA$2:$AA$698,0))</f>
        <v>1</v>
      </c>
      <c r="P182" s="6">
        <f>INDEX('[1]RTO Register'!S$2:S$698,MATCH($A182,'[1]RTO Register'!$AA$2:$AA$698,0))</f>
        <v>1</v>
      </c>
      <c r="Q182" s="6">
        <f t="shared" si="5"/>
        <v>1</v>
      </c>
    </row>
    <row r="183" spans="1:17" x14ac:dyDescent="0.25">
      <c r="A183" t="str">
        <v>45608</v>
      </c>
      <c r="B183" t="str">
        <v>CTA Create Train Achieve</v>
      </c>
      <c r="C183" t="str">
        <v>N/A</v>
      </c>
      <c r="D183" t="str">
        <f>VLOOKUP(A183,'[1]RTO Register'!AA$2:AH680,8,FALSE)</f>
        <v>3175</v>
      </c>
      <c r="E183" s="8" t="s">
        <v>198</v>
      </c>
      <c r="F183" s="1" t="str">
        <f t="shared" si="4"/>
        <v/>
      </c>
      <c r="G183" s="1" t="str">
        <f>IFERROR(IF(INDEX('[1]RTO Register'!AP$2:AP$698,MATCH($A183,'[1]RTO Register'!$AA$2:$AA$698,0))="Yes","School",""),"")</f>
        <v/>
      </c>
      <c r="H183" s="6">
        <f>INDEX('[1]RTO Register'!K$2:K$698,MATCH($A183,'[1]RTO Register'!$AA$2:$AA$698,0))</f>
        <v>1</v>
      </c>
      <c r="I183" s="6">
        <f>INDEX('[1]RTO Register'!L$2:L$698,MATCH($A183,'[1]RTO Register'!$AA$2:$AA$698,0))</f>
        <v>1</v>
      </c>
      <c r="J183" s="6">
        <f>INDEX('[1]RTO Register'!M$2:M$698,MATCH($A183,'[1]RTO Register'!$AA$2:$AA$698,0))</f>
        <v>1</v>
      </c>
      <c r="K183" s="6">
        <f>INDEX('[1]RTO Register'!N$2:N$698,MATCH($A183,'[1]RTO Register'!$AA$2:$AA$698,0))</f>
        <v>1</v>
      </c>
      <c r="L183" s="6">
        <f>INDEX('[1]RTO Register'!O$2:O$698,MATCH($A183,'[1]RTO Register'!$AA$2:$AA$698,0))</f>
        <v>1</v>
      </c>
      <c r="M183" s="6">
        <f>INDEX('[1]RTO Register'!P$2:P$698,MATCH($A183,'[1]RTO Register'!$AA$2:$AA$698,0))</f>
        <v>1</v>
      </c>
      <c r="N183" s="6">
        <f>INDEX('[1]RTO Register'!Q$2:Q$698,MATCH($A183,'[1]RTO Register'!$AA$2:$AA$698,0))</f>
        <v>1</v>
      </c>
      <c r="O183" s="6">
        <f>INDEX('[1]RTO Register'!R$2:R$698,MATCH($A183,'[1]RTO Register'!$AA$2:$AA$698,0))</f>
        <v>1</v>
      </c>
      <c r="P183" s="6">
        <f>INDEX('[1]RTO Register'!S$2:S$698,MATCH($A183,'[1]RTO Register'!$AA$2:$AA$698,0))</f>
        <v>1</v>
      </c>
      <c r="Q183" s="6">
        <f t="shared" si="5"/>
        <v>1</v>
      </c>
    </row>
    <row r="184" spans="1:17" x14ac:dyDescent="0.25">
      <c r="A184" t="str">
        <v>45656</v>
      </c>
      <c r="B184" t="str">
        <v>VET Training Pty Ltd</v>
      </c>
      <c r="C184" t="str">
        <v>Gladstone Training Services</v>
      </c>
      <c r="D184" t="str">
        <f>VLOOKUP(A184,'[1]RTO Register'!AA$2:AH681,8,FALSE)</f>
        <v>4680</v>
      </c>
      <c r="E184" s="8" t="s">
        <v>199</v>
      </c>
      <c r="F184" s="1" t="str">
        <f t="shared" si="4"/>
        <v/>
      </c>
      <c r="G184" s="1" t="str">
        <f>IFERROR(IF(INDEX('[1]RTO Register'!AP$2:AP$698,MATCH($A184,'[1]RTO Register'!$AA$2:$AA$698,0))="Yes","School",""),"")</f>
        <v/>
      </c>
      <c r="H184" s="6">
        <f>INDEX('[1]RTO Register'!K$2:K$698,MATCH($A184,'[1]RTO Register'!$AA$2:$AA$698,0))</f>
        <v>1</v>
      </c>
      <c r="I184" s="6">
        <f>INDEX('[1]RTO Register'!L$2:L$698,MATCH($A184,'[1]RTO Register'!$AA$2:$AA$698,0))</f>
        <v>1</v>
      </c>
      <c r="J184" s="6">
        <f>INDEX('[1]RTO Register'!M$2:M$698,MATCH($A184,'[1]RTO Register'!$AA$2:$AA$698,0))</f>
        <v>1</v>
      </c>
      <c r="K184" s="6">
        <f>INDEX('[1]RTO Register'!N$2:N$698,MATCH($A184,'[1]RTO Register'!$AA$2:$AA$698,0))</f>
        <v>1</v>
      </c>
      <c r="L184" s="6">
        <f>INDEX('[1]RTO Register'!O$2:O$698,MATCH($A184,'[1]RTO Register'!$AA$2:$AA$698,0))</f>
        <v>1</v>
      </c>
      <c r="M184" s="6">
        <f>INDEX('[1]RTO Register'!P$2:P$698,MATCH($A184,'[1]RTO Register'!$AA$2:$AA$698,0))</f>
        <v>1</v>
      </c>
      <c r="N184" s="6">
        <f>INDEX('[1]RTO Register'!Q$2:Q$698,MATCH($A184,'[1]RTO Register'!$AA$2:$AA$698,0))</f>
        <v>1</v>
      </c>
      <c r="O184" s="6">
        <f>INDEX('[1]RTO Register'!R$2:R$698,MATCH($A184,'[1]RTO Register'!$AA$2:$AA$698,0))</f>
        <v>1</v>
      </c>
      <c r="P184" s="6">
        <f>INDEX('[1]RTO Register'!S$2:S$698,MATCH($A184,'[1]RTO Register'!$AA$2:$AA$698,0))</f>
        <v>1</v>
      </c>
      <c r="Q184" s="6">
        <f t="shared" si="5"/>
        <v>1</v>
      </c>
    </row>
    <row r="185" spans="1:17" x14ac:dyDescent="0.25">
      <c r="A185" t="str">
        <v>45671</v>
      </c>
      <c r="B185" t="str">
        <v>Crew Training Pty Ltd</v>
      </c>
      <c r="C185" t="str">
        <v>Accreditation And Training Services</v>
      </c>
      <c r="D185" t="str">
        <f>VLOOKUP(A185,'[1]RTO Register'!AA$2:AH682,8,FALSE)</f>
        <v>4861</v>
      </c>
      <c r="E185" s="8" t="s">
        <v>200</v>
      </c>
      <c r="F185" s="1" t="str">
        <f t="shared" si="4"/>
        <v/>
      </c>
      <c r="G185" s="1" t="str">
        <f>IFERROR(IF(INDEX('[1]RTO Register'!AP$2:AP$698,MATCH($A185,'[1]RTO Register'!$AA$2:$AA$698,0))="Yes","School",""),"")</f>
        <v/>
      </c>
      <c r="H185" s="6">
        <f>INDEX('[1]RTO Register'!K$2:K$698,MATCH($A185,'[1]RTO Register'!$AA$2:$AA$698,0))</f>
        <v>1</v>
      </c>
      <c r="I185" s="6">
        <f>INDEX('[1]RTO Register'!L$2:L$698,MATCH($A185,'[1]RTO Register'!$AA$2:$AA$698,0))</f>
        <v>1</v>
      </c>
      <c r="J185" s="6">
        <f>INDEX('[1]RTO Register'!M$2:M$698,MATCH($A185,'[1]RTO Register'!$AA$2:$AA$698,0))</f>
        <v>1</v>
      </c>
      <c r="K185" s="6">
        <f>INDEX('[1]RTO Register'!N$2:N$698,MATCH($A185,'[1]RTO Register'!$AA$2:$AA$698,0))</f>
        <v>1</v>
      </c>
      <c r="L185" s="6">
        <f>INDEX('[1]RTO Register'!O$2:O$698,MATCH($A185,'[1]RTO Register'!$AA$2:$AA$698,0))</f>
        <v>1</v>
      </c>
      <c r="M185" s="6">
        <f>INDEX('[1]RTO Register'!P$2:P$698,MATCH($A185,'[1]RTO Register'!$AA$2:$AA$698,0))</f>
        <v>1</v>
      </c>
      <c r="N185" s="6">
        <f>INDEX('[1]RTO Register'!Q$2:Q$698,MATCH($A185,'[1]RTO Register'!$AA$2:$AA$698,0))</f>
        <v>1</v>
      </c>
      <c r="O185" s="6">
        <f>INDEX('[1]RTO Register'!R$2:R$698,MATCH($A185,'[1]RTO Register'!$AA$2:$AA$698,0))</f>
        <v>1</v>
      </c>
      <c r="P185" s="6">
        <f>INDEX('[1]RTO Register'!S$2:S$698,MATCH($A185,'[1]RTO Register'!$AA$2:$AA$698,0))</f>
        <v>1</v>
      </c>
      <c r="Q185" s="6">
        <f t="shared" si="5"/>
        <v>1</v>
      </c>
    </row>
    <row r="186" spans="1:17" x14ac:dyDescent="0.25">
      <c r="A186" t="str">
        <v>45682</v>
      </c>
      <c r="B186" t="str">
        <v>A-OK Training Pty Ltd</v>
      </c>
      <c r="C186" t="str">
        <v>N/A</v>
      </c>
      <c r="D186" t="str">
        <f>VLOOKUP(A186,'[1]RTO Register'!AA$2:AH683,8,FALSE)</f>
        <v>4017</v>
      </c>
      <c r="E186" s="8" t="s">
        <v>201</v>
      </c>
      <c r="F186" s="1" t="str">
        <f t="shared" si="4"/>
        <v/>
      </c>
      <c r="G186" s="1" t="str">
        <f>IFERROR(IF(INDEX('[1]RTO Register'!AP$2:AP$698,MATCH($A186,'[1]RTO Register'!$AA$2:$AA$698,0))="Yes","School",""),"")</f>
        <v/>
      </c>
      <c r="H186" s="6">
        <f>INDEX('[1]RTO Register'!K$2:K$698,MATCH($A186,'[1]RTO Register'!$AA$2:$AA$698,0))</f>
        <v>1</v>
      </c>
      <c r="I186" s="6">
        <f>INDEX('[1]RTO Register'!L$2:L$698,MATCH($A186,'[1]RTO Register'!$AA$2:$AA$698,0))</f>
        <v>1</v>
      </c>
      <c r="J186" s="6">
        <f>INDEX('[1]RTO Register'!M$2:M$698,MATCH($A186,'[1]RTO Register'!$AA$2:$AA$698,0))</f>
        <v>1</v>
      </c>
      <c r="K186" s="6">
        <f>INDEX('[1]RTO Register'!N$2:N$698,MATCH($A186,'[1]RTO Register'!$AA$2:$AA$698,0))</f>
        <v>1</v>
      </c>
      <c r="L186" s="6">
        <f>INDEX('[1]RTO Register'!O$2:O$698,MATCH($A186,'[1]RTO Register'!$AA$2:$AA$698,0))</f>
        <v>1</v>
      </c>
      <c r="M186" s="6">
        <f>INDEX('[1]RTO Register'!P$2:P$698,MATCH($A186,'[1]RTO Register'!$AA$2:$AA$698,0))</f>
        <v>1</v>
      </c>
      <c r="N186" s="6">
        <f>INDEX('[1]RTO Register'!Q$2:Q$698,MATCH($A186,'[1]RTO Register'!$AA$2:$AA$698,0))</f>
        <v>1</v>
      </c>
      <c r="O186" s="6">
        <f>INDEX('[1]RTO Register'!R$2:R$698,MATCH($A186,'[1]RTO Register'!$AA$2:$AA$698,0))</f>
        <v>1</v>
      </c>
      <c r="P186" s="6">
        <f>INDEX('[1]RTO Register'!S$2:S$698,MATCH($A186,'[1]RTO Register'!$AA$2:$AA$698,0))</f>
        <v>1</v>
      </c>
      <c r="Q186" s="6">
        <f t="shared" si="5"/>
        <v>1</v>
      </c>
    </row>
    <row r="187" spans="1:17" x14ac:dyDescent="0.25">
      <c r="A187" t="str">
        <v>45723</v>
      </c>
      <c r="B187" t="str">
        <v>First Aid in Cairns PTY LTD</v>
      </c>
      <c r="C187" t="str">
        <v>First Aid in Cairns PTY LTD</v>
      </c>
      <c r="D187" t="str">
        <f>VLOOKUP(A187,'[1]RTO Register'!AA$2:AH684,8,FALSE)</f>
        <v>4878</v>
      </c>
      <c r="E187" s="8" t="s">
        <v>202</v>
      </c>
      <c r="F187" s="1" t="str">
        <f t="shared" si="4"/>
        <v/>
      </c>
      <c r="G187" s="1" t="str">
        <f>IFERROR(IF(INDEX('[1]RTO Register'!AP$2:AP$698,MATCH($A187,'[1]RTO Register'!$AA$2:$AA$698,0))="Yes","School",""),"")</f>
        <v/>
      </c>
      <c r="H187" s="6">
        <f>INDEX('[1]RTO Register'!K$2:K$698,MATCH($A187,'[1]RTO Register'!$AA$2:$AA$698,0))</f>
        <v>1</v>
      </c>
      <c r="I187" s="6">
        <f>INDEX('[1]RTO Register'!L$2:L$698,MATCH($A187,'[1]RTO Register'!$AA$2:$AA$698,0))</f>
        <v>1</v>
      </c>
      <c r="J187" s="6">
        <f>INDEX('[1]RTO Register'!M$2:M$698,MATCH($A187,'[1]RTO Register'!$AA$2:$AA$698,0))</f>
        <v>1</v>
      </c>
      <c r="K187" s="6">
        <f>INDEX('[1]RTO Register'!N$2:N$698,MATCH($A187,'[1]RTO Register'!$AA$2:$AA$698,0))</f>
        <v>1</v>
      </c>
      <c r="L187" s="6">
        <f>INDEX('[1]RTO Register'!O$2:O$698,MATCH($A187,'[1]RTO Register'!$AA$2:$AA$698,0))</f>
        <v>1</v>
      </c>
      <c r="M187" s="6">
        <f>INDEX('[1]RTO Register'!P$2:P$698,MATCH($A187,'[1]RTO Register'!$AA$2:$AA$698,0))</f>
        <v>1</v>
      </c>
      <c r="N187" s="6">
        <f>INDEX('[1]RTO Register'!Q$2:Q$698,MATCH($A187,'[1]RTO Register'!$AA$2:$AA$698,0))</f>
        <v>1</v>
      </c>
      <c r="O187" s="6">
        <f>INDEX('[1]RTO Register'!R$2:R$698,MATCH($A187,'[1]RTO Register'!$AA$2:$AA$698,0))</f>
        <v>1</v>
      </c>
      <c r="P187" s="6">
        <f>INDEX('[1]RTO Register'!S$2:S$698,MATCH($A187,'[1]RTO Register'!$AA$2:$AA$698,0))</f>
        <v>1</v>
      </c>
      <c r="Q187" s="6">
        <f t="shared" si="5"/>
        <v>1</v>
      </c>
    </row>
    <row r="188" spans="1:17" x14ac:dyDescent="0.25">
      <c r="A188" t="str">
        <v>45726</v>
      </c>
      <c r="B188" t="str">
        <v>LT Training Enterprises Pty Ltd</v>
      </c>
      <c r="C188" t="str">
        <v>N/A</v>
      </c>
      <c r="D188" t="str">
        <f>VLOOKUP(A188,'[1]RTO Register'!AA$2:AH685,8,FALSE)</f>
        <v>4560</v>
      </c>
      <c r="E188" s="8" t="s">
        <v>203</v>
      </c>
      <c r="F188" s="1" t="str">
        <f t="shared" si="4"/>
        <v/>
      </c>
      <c r="G188" s="1" t="str">
        <f>IFERROR(IF(INDEX('[1]RTO Register'!AP$2:AP$698,MATCH($A188,'[1]RTO Register'!$AA$2:$AA$698,0))="Yes","School",""),"")</f>
        <v/>
      </c>
      <c r="H188" s="6">
        <f>INDEX('[1]RTO Register'!K$2:K$698,MATCH($A188,'[1]RTO Register'!$AA$2:$AA$698,0))</f>
        <v>1</v>
      </c>
      <c r="I188" s="6">
        <f>INDEX('[1]RTO Register'!L$2:L$698,MATCH($A188,'[1]RTO Register'!$AA$2:$AA$698,0))</f>
        <v>1</v>
      </c>
      <c r="J188" s="6">
        <f>INDEX('[1]RTO Register'!M$2:M$698,MATCH($A188,'[1]RTO Register'!$AA$2:$AA$698,0))</f>
        <v>1</v>
      </c>
      <c r="K188" s="6">
        <f>INDEX('[1]RTO Register'!N$2:N$698,MATCH($A188,'[1]RTO Register'!$AA$2:$AA$698,0))</f>
        <v>1</v>
      </c>
      <c r="L188" s="6">
        <f>INDEX('[1]RTO Register'!O$2:O$698,MATCH($A188,'[1]RTO Register'!$AA$2:$AA$698,0))</f>
        <v>44261</v>
      </c>
      <c r="M188" s="6">
        <f>INDEX('[1]RTO Register'!P$2:P$698,MATCH($A188,'[1]RTO Register'!$AA$2:$AA$698,0))</f>
        <v>1</v>
      </c>
      <c r="N188" s="6">
        <f>INDEX('[1]RTO Register'!Q$2:Q$698,MATCH($A188,'[1]RTO Register'!$AA$2:$AA$698,0))</f>
        <v>1</v>
      </c>
      <c r="O188" s="6">
        <f>INDEX('[1]RTO Register'!R$2:R$698,MATCH($A188,'[1]RTO Register'!$AA$2:$AA$698,0))</f>
        <v>1</v>
      </c>
      <c r="P188" s="6">
        <f>INDEX('[1]RTO Register'!S$2:S$698,MATCH($A188,'[1]RTO Register'!$AA$2:$AA$698,0))</f>
        <v>44262</v>
      </c>
      <c r="Q188" s="6">
        <f t="shared" si="5"/>
        <v>44262</v>
      </c>
    </row>
    <row r="189" spans="1:17" x14ac:dyDescent="0.25">
      <c r="A189" t="str">
        <v>45747</v>
      </c>
      <c r="B189" t="str">
        <v>Lack Group Training Pty Ltd</v>
      </c>
      <c r="C189" t="str">
        <v>N/A</v>
      </c>
      <c r="D189" t="str">
        <f>VLOOKUP(A189,'[1]RTO Register'!AA$2:AH686,8,FALSE)</f>
        <v>4227</v>
      </c>
      <c r="E189" s="8" t="s">
        <v>204</v>
      </c>
      <c r="F189" s="1" t="str">
        <f t="shared" si="4"/>
        <v/>
      </c>
      <c r="G189" s="1" t="str">
        <f>IFERROR(IF(INDEX('[1]RTO Register'!AP$2:AP$698,MATCH($A189,'[1]RTO Register'!$AA$2:$AA$698,0))="Yes","School",""),"")</f>
        <v/>
      </c>
      <c r="H189" s="6">
        <f>INDEX('[1]RTO Register'!K$2:K$698,MATCH($A189,'[1]RTO Register'!$AA$2:$AA$698,0))</f>
        <v>1</v>
      </c>
      <c r="I189" s="6">
        <f>INDEX('[1]RTO Register'!L$2:L$698,MATCH($A189,'[1]RTO Register'!$AA$2:$AA$698,0))</f>
        <v>1</v>
      </c>
      <c r="J189" s="6">
        <f>INDEX('[1]RTO Register'!M$2:M$698,MATCH($A189,'[1]RTO Register'!$AA$2:$AA$698,0))</f>
        <v>1</v>
      </c>
      <c r="K189" s="6">
        <f>INDEX('[1]RTO Register'!N$2:N$698,MATCH($A189,'[1]RTO Register'!$AA$2:$AA$698,0))</f>
        <v>1</v>
      </c>
      <c r="L189" s="6">
        <f>INDEX('[1]RTO Register'!O$2:O$698,MATCH($A189,'[1]RTO Register'!$AA$2:$AA$698,0))</f>
        <v>1</v>
      </c>
      <c r="M189" s="6">
        <f>INDEX('[1]RTO Register'!P$2:P$698,MATCH($A189,'[1]RTO Register'!$AA$2:$AA$698,0))</f>
        <v>1</v>
      </c>
      <c r="N189" s="6">
        <f>INDEX('[1]RTO Register'!Q$2:Q$698,MATCH($A189,'[1]RTO Register'!$AA$2:$AA$698,0))</f>
        <v>1</v>
      </c>
      <c r="O189" s="6">
        <f>INDEX('[1]RTO Register'!R$2:R$698,MATCH($A189,'[1]RTO Register'!$AA$2:$AA$698,0))</f>
        <v>1</v>
      </c>
      <c r="P189" s="6">
        <f>INDEX('[1]RTO Register'!S$2:S$698,MATCH($A189,'[1]RTO Register'!$AA$2:$AA$698,0))</f>
        <v>1</v>
      </c>
      <c r="Q189" s="6">
        <f t="shared" si="5"/>
        <v>1</v>
      </c>
    </row>
    <row r="190" spans="1:17" x14ac:dyDescent="0.25">
      <c r="A190" t="str">
        <v>45778</v>
      </c>
      <c r="B190" t="str">
        <v>EM Hauri Pty Ltd t/a EMH Industries &amp; World Tec College</v>
      </c>
      <c r="C190" t="str">
        <v>EMH Industries &amp; World Tec College</v>
      </c>
      <c r="D190" t="str">
        <f>VLOOKUP(A190,'[1]RTO Register'!AA$2:AH687,8,FALSE)</f>
        <v>2142</v>
      </c>
      <c r="E190" s="8" t="s">
        <v>205</v>
      </c>
      <c r="F190" s="1" t="str">
        <f t="shared" si="4"/>
        <v/>
      </c>
      <c r="G190" s="1" t="str">
        <f>IFERROR(IF(INDEX('[1]RTO Register'!AP$2:AP$698,MATCH($A190,'[1]RTO Register'!$AA$2:$AA$698,0))="Yes","School",""),"")</f>
        <v/>
      </c>
      <c r="H190" s="6">
        <f>INDEX('[1]RTO Register'!K$2:K$698,MATCH($A190,'[1]RTO Register'!$AA$2:$AA$698,0))</f>
        <v>1</v>
      </c>
      <c r="I190" s="6">
        <f>INDEX('[1]RTO Register'!L$2:L$698,MATCH($A190,'[1]RTO Register'!$AA$2:$AA$698,0))</f>
        <v>1</v>
      </c>
      <c r="J190" s="6">
        <f>INDEX('[1]RTO Register'!M$2:M$698,MATCH($A190,'[1]RTO Register'!$AA$2:$AA$698,0))</f>
        <v>1</v>
      </c>
      <c r="K190" s="6">
        <f>INDEX('[1]RTO Register'!N$2:N$698,MATCH($A190,'[1]RTO Register'!$AA$2:$AA$698,0))</f>
        <v>1</v>
      </c>
      <c r="L190" s="6">
        <f>INDEX('[1]RTO Register'!O$2:O$698,MATCH($A190,'[1]RTO Register'!$AA$2:$AA$698,0))</f>
        <v>1</v>
      </c>
      <c r="M190" s="6">
        <f>INDEX('[1]RTO Register'!P$2:P$698,MATCH($A190,'[1]RTO Register'!$AA$2:$AA$698,0))</f>
        <v>1</v>
      </c>
      <c r="N190" s="6">
        <f>INDEX('[1]RTO Register'!Q$2:Q$698,MATCH($A190,'[1]RTO Register'!$AA$2:$AA$698,0))</f>
        <v>1</v>
      </c>
      <c r="O190" s="6">
        <f>INDEX('[1]RTO Register'!R$2:R$698,MATCH($A190,'[1]RTO Register'!$AA$2:$AA$698,0))</f>
        <v>1</v>
      </c>
      <c r="P190" s="6">
        <f>INDEX('[1]RTO Register'!S$2:S$698,MATCH($A190,'[1]RTO Register'!$AA$2:$AA$698,0))</f>
        <v>1</v>
      </c>
      <c r="Q190" s="6">
        <f t="shared" si="5"/>
        <v>1</v>
      </c>
    </row>
    <row r="191" spans="1:17" x14ac:dyDescent="0.25">
      <c r="A191" t="str">
        <v>45802</v>
      </c>
      <c r="B191" t="str">
        <v>Hilton Group QLD. Pty Ltd</v>
      </c>
      <c r="C191" t="str">
        <v>Forky Stick Training and Safety Consultants</v>
      </c>
      <c r="D191" t="str">
        <f>VLOOKUP(A191,'[1]RTO Register'!AA$2:AH688,8,FALSE)</f>
        <v>4701</v>
      </c>
      <c r="E191" s="8" t="s">
        <v>206</v>
      </c>
      <c r="F191" s="1" t="str">
        <f t="shared" si="4"/>
        <v/>
      </c>
      <c r="G191" s="1" t="str">
        <f>IFERROR(IF(INDEX('[1]RTO Register'!AP$2:AP$698,MATCH($A191,'[1]RTO Register'!$AA$2:$AA$698,0))="Yes","School",""),"")</f>
        <v/>
      </c>
      <c r="H191" s="6">
        <f>INDEX('[1]RTO Register'!K$2:K$698,MATCH($A191,'[1]RTO Register'!$AA$2:$AA$698,0))</f>
        <v>1</v>
      </c>
      <c r="I191" s="6">
        <f>INDEX('[1]RTO Register'!L$2:L$698,MATCH($A191,'[1]RTO Register'!$AA$2:$AA$698,0))</f>
        <v>1</v>
      </c>
      <c r="J191" s="6">
        <f>INDEX('[1]RTO Register'!M$2:M$698,MATCH($A191,'[1]RTO Register'!$AA$2:$AA$698,0))</f>
        <v>1</v>
      </c>
      <c r="K191" s="6">
        <f>INDEX('[1]RTO Register'!N$2:N$698,MATCH($A191,'[1]RTO Register'!$AA$2:$AA$698,0))</f>
        <v>1</v>
      </c>
      <c r="L191" s="6">
        <f>INDEX('[1]RTO Register'!O$2:O$698,MATCH($A191,'[1]RTO Register'!$AA$2:$AA$698,0))</f>
        <v>1</v>
      </c>
      <c r="M191" s="6">
        <f>INDEX('[1]RTO Register'!P$2:P$698,MATCH($A191,'[1]RTO Register'!$AA$2:$AA$698,0))</f>
        <v>1</v>
      </c>
      <c r="N191" s="6">
        <f>INDEX('[1]RTO Register'!Q$2:Q$698,MATCH($A191,'[1]RTO Register'!$AA$2:$AA$698,0))</f>
        <v>1</v>
      </c>
      <c r="O191" s="6">
        <f>INDEX('[1]RTO Register'!R$2:R$698,MATCH($A191,'[1]RTO Register'!$AA$2:$AA$698,0))</f>
        <v>1</v>
      </c>
      <c r="P191" s="6">
        <f>INDEX('[1]RTO Register'!S$2:S$698,MATCH($A191,'[1]RTO Register'!$AA$2:$AA$698,0))</f>
        <v>1</v>
      </c>
      <c r="Q191" s="6">
        <f t="shared" si="5"/>
        <v>1</v>
      </c>
    </row>
    <row r="192" spans="1:17" x14ac:dyDescent="0.25">
      <c r="A192" t="str">
        <v>45830</v>
      </c>
      <c r="B192" t="str">
        <v>Gladstone Area Group Apprentices Limited</v>
      </c>
      <c r="C192" t="str">
        <v>Apprentices and Trainees Queensland</v>
      </c>
      <c r="D192" t="str">
        <f>VLOOKUP(A192,'[1]RTO Register'!AA$2:AH689,8,FALSE)</f>
        <v>4680</v>
      </c>
      <c r="E192" s="8" t="s">
        <v>207</v>
      </c>
      <c r="F192" s="1" t="str">
        <f t="shared" si="4"/>
        <v/>
      </c>
      <c r="G192" s="1" t="str">
        <f>IFERROR(IF(INDEX('[1]RTO Register'!AP$2:AP$698,MATCH($A192,'[1]RTO Register'!$AA$2:$AA$698,0))="Yes","School",""),"")</f>
        <v/>
      </c>
      <c r="H192" s="6">
        <f>INDEX('[1]RTO Register'!K$2:K$698,MATCH($A192,'[1]RTO Register'!$AA$2:$AA$698,0))</f>
        <v>1</v>
      </c>
      <c r="I192" s="6">
        <f>INDEX('[1]RTO Register'!L$2:L$698,MATCH($A192,'[1]RTO Register'!$AA$2:$AA$698,0))</f>
        <v>1</v>
      </c>
      <c r="J192" s="6">
        <f>INDEX('[1]RTO Register'!M$2:M$698,MATCH($A192,'[1]RTO Register'!$AA$2:$AA$698,0))</f>
        <v>1</v>
      </c>
      <c r="K192" s="6">
        <f>INDEX('[1]RTO Register'!N$2:N$698,MATCH($A192,'[1]RTO Register'!$AA$2:$AA$698,0))</f>
        <v>1</v>
      </c>
      <c r="L192" s="6">
        <f>INDEX('[1]RTO Register'!O$2:O$698,MATCH($A192,'[1]RTO Register'!$AA$2:$AA$698,0))</f>
        <v>1</v>
      </c>
      <c r="M192" s="6">
        <f>INDEX('[1]RTO Register'!P$2:P$698,MATCH($A192,'[1]RTO Register'!$AA$2:$AA$698,0))</f>
        <v>1</v>
      </c>
      <c r="N192" s="6">
        <f>INDEX('[1]RTO Register'!Q$2:Q$698,MATCH($A192,'[1]RTO Register'!$AA$2:$AA$698,0))</f>
        <v>1</v>
      </c>
      <c r="O192" s="6">
        <f>INDEX('[1]RTO Register'!R$2:R$698,MATCH($A192,'[1]RTO Register'!$AA$2:$AA$698,0))</f>
        <v>1</v>
      </c>
      <c r="P192" s="6">
        <f>INDEX('[1]RTO Register'!S$2:S$698,MATCH($A192,'[1]RTO Register'!$AA$2:$AA$698,0))</f>
        <v>1</v>
      </c>
      <c r="Q192" s="6">
        <f t="shared" si="5"/>
        <v>1</v>
      </c>
    </row>
    <row r="193" spans="1:17" x14ac:dyDescent="0.25">
      <c r="A193" t="str">
        <v>45914</v>
      </c>
      <c r="B193" t="str">
        <v>Salus Group Pty Ltd</v>
      </c>
      <c r="C193" t="str">
        <v>Salus Group Academy</v>
      </c>
      <c r="D193" t="str">
        <f>VLOOKUP(A193,'[1]RTO Register'!AA$2:AH690,8,FALSE)</f>
        <v>4606</v>
      </c>
      <c r="E193" s="8" t="s">
        <v>208</v>
      </c>
      <c r="F193" s="1" t="str">
        <f t="shared" si="4"/>
        <v/>
      </c>
      <c r="G193" s="1" t="str">
        <f>IFERROR(IF(INDEX('[1]RTO Register'!AP$2:AP$698,MATCH($A193,'[1]RTO Register'!$AA$2:$AA$698,0))="Yes","School",""),"")</f>
        <v/>
      </c>
      <c r="H193" s="6">
        <f>INDEX('[1]RTO Register'!K$2:K$698,MATCH($A193,'[1]RTO Register'!$AA$2:$AA$698,0))</f>
        <v>1</v>
      </c>
      <c r="I193" s="6">
        <f>INDEX('[1]RTO Register'!L$2:L$698,MATCH($A193,'[1]RTO Register'!$AA$2:$AA$698,0))</f>
        <v>1</v>
      </c>
      <c r="J193" s="6">
        <f>INDEX('[1]RTO Register'!M$2:M$698,MATCH($A193,'[1]RTO Register'!$AA$2:$AA$698,0))</f>
        <v>1</v>
      </c>
      <c r="K193" s="6">
        <f>INDEX('[1]RTO Register'!N$2:N$698,MATCH($A193,'[1]RTO Register'!$AA$2:$AA$698,0))</f>
        <v>1</v>
      </c>
      <c r="L193" s="6">
        <f>INDEX('[1]RTO Register'!O$2:O$698,MATCH($A193,'[1]RTO Register'!$AA$2:$AA$698,0))</f>
        <v>1</v>
      </c>
      <c r="M193" s="6">
        <f>INDEX('[1]RTO Register'!P$2:P$698,MATCH($A193,'[1]RTO Register'!$AA$2:$AA$698,0))</f>
        <v>1</v>
      </c>
      <c r="N193" s="6">
        <f>INDEX('[1]RTO Register'!Q$2:Q$698,MATCH($A193,'[1]RTO Register'!$AA$2:$AA$698,0))</f>
        <v>1</v>
      </c>
      <c r="O193" s="6">
        <f>INDEX('[1]RTO Register'!R$2:R$698,MATCH($A193,'[1]RTO Register'!$AA$2:$AA$698,0))</f>
        <v>1</v>
      </c>
      <c r="P193" s="6">
        <f>INDEX('[1]RTO Register'!S$2:S$698,MATCH($A193,'[1]RTO Register'!$AA$2:$AA$698,0))</f>
        <v>1</v>
      </c>
      <c r="Q193" s="6">
        <f t="shared" si="5"/>
        <v>1</v>
      </c>
    </row>
    <row r="194" spans="1:17" x14ac:dyDescent="0.25">
      <c r="A194" t="str">
        <v>45970</v>
      </c>
      <c r="B194" t="str">
        <v>Edmund Rice Education Australia Colleges LTD</v>
      </c>
      <c r="C194" t="str">
        <v>St James College</v>
      </c>
      <c r="D194" t="str">
        <f>VLOOKUP(A194,'[1]RTO Register'!AA$2:AH691,8,FALSE)</f>
        <v>4000</v>
      </c>
      <c r="E194" s="8" t="s">
        <v>209</v>
      </c>
      <c r="F194" s="1" t="str">
        <f t="shared" si="4"/>
        <v/>
      </c>
      <c r="G194" s="1" t="str">
        <f>IFERROR(IF(INDEX('[1]RTO Register'!AP$2:AP$698,MATCH($A194,'[1]RTO Register'!$AA$2:$AA$698,0))="Yes","School",""),"")</f>
        <v>School</v>
      </c>
      <c r="H194" s="6">
        <f>INDEX('[1]RTO Register'!K$2:K$698,MATCH($A194,'[1]RTO Register'!$AA$2:$AA$698,0))</f>
        <v>1</v>
      </c>
      <c r="I194" s="6">
        <f>INDEX('[1]RTO Register'!L$2:L$698,MATCH($A194,'[1]RTO Register'!$AA$2:$AA$698,0))</f>
        <v>1</v>
      </c>
      <c r="J194" s="6">
        <f>INDEX('[1]RTO Register'!M$2:M$698,MATCH($A194,'[1]RTO Register'!$AA$2:$AA$698,0))</f>
        <v>1</v>
      </c>
      <c r="K194" s="6">
        <f>INDEX('[1]RTO Register'!N$2:N$698,MATCH($A194,'[1]RTO Register'!$AA$2:$AA$698,0))</f>
        <v>1</v>
      </c>
      <c r="L194" s="6">
        <f>INDEX('[1]RTO Register'!O$2:O$698,MATCH($A194,'[1]RTO Register'!$AA$2:$AA$698,0))</f>
        <v>1</v>
      </c>
      <c r="M194" s="6">
        <f>INDEX('[1]RTO Register'!P$2:P$698,MATCH($A194,'[1]RTO Register'!$AA$2:$AA$698,0))</f>
        <v>1</v>
      </c>
      <c r="N194" s="6">
        <f>INDEX('[1]RTO Register'!Q$2:Q$698,MATCH($A194,'[1]RTO Register'!$AA$2:$AA$698,0))</f>
        <v>1</v>
      </c>
      <c r="O194" s="6">
        <f>INDEX('[1]RTO Register'!R$2:R$698,MATCH($A194,'[1]RTO Register'!$AA$2:$AA$698,0))</f>
        <v>1</v>
      </c>
      <c r="P194" s="6">
        <f>INDEX('[1]RTO Register'!S$2:S$698,MATCH($A194,'[1]RTO Register'!$AA$2:$AA$698,0))</f>
        <v>1</v>
      </c>
      <c r="Q194" s="6">
        <f t="shared" si="5"/>
        <v>1</v>
      </c>
    </row>
    <row r="195" spans="1:17" x14ac:dyDescent="0.25">
      <c r="A195" t="str">
        <v>46100</v>
      </c>
      <c r="B195" t="str">
        <v>Malcolm Ross Rook</v>
      </c>
      <c r="C195" t="str">
        <v>Malcolm Ross Rook</v>
      </c>
      <c r="D195" t="str">
        <f>VLOOKUP(A195,'[1]RTO Register'!AA$2:AH692,8,FALSE)</f>
        <v>4405</v>
      </c>
      <c r="E195" s="8" t="s">
        <v>210</v>
      </c>
      <c r="F195" s="1" t="str">
        <f t="shared" si="4"/>
        <v/>
      </c>
      <c r="G195" s="1" t="str">
        <f>IFERROR(IF(INDEX('[1]RTO Register'!AP$2:AP$698,MATCH($A195,'[1]RTO Register'!$AA$2:$AA$698,0))="Yes","School",""),"")</f>
        <v/>
      </c>
      <c r="H195" s="6">
        <f>INDEX('[1]RTO Register'!K$2:K$698,MATCH($A195,'[1]RTO Register'!$AA$2:$AA$698,0))</f>
        <v>1</v>
      </c>
      <c r="I195" s="6">
        <f>INDEX('[1]RTO Register'!L$2:L$698,MATCH($A195,'[1]RTO Register'!$AA$2:$AA$698,0))</f>
        <v>1</v>
      </c>
      <c r="J195" s="6">
        <f>INDEX('[1]RTO Register'!M$2:M$698,MATCH($A195,'[1]RTO Register'!$AA$2:$AA$698,0))</f>
        <v>1</v>
      </c>
      <c r="K195" s="6">
        <f>INDEX('[1]RTO Register'!N$2:N$698,MATCH($A195,'[1]RTO Register'!$AA$2:$AA$698,0))</f>
        <v>1</v>
      </c>
      <c r="L195" s="6">
        <f>INDEX('[1]RTO Register'!O$2:O$698,MATCH($A195,'[1]RTO Register'!$AA$2:$AA$698,0))</f>
        <v>1</v>
      </c>
      <c r="M195" s="6">
        <f>INDEX('[1]RTO Register'!P$2:P$698,MATCH($A195,'[1]RTO Register'!$AA$2:$AA$698,0))</f>
        <v>1</v>
      </c>
      <c r="N195" s="6">
        <f>INDEX('[1]RTO Register'!Q$2:Q$698,MATCH($A195,'[1]RTO Register'!$AA$2:$AA$698,0))</f>
        <v>1</v>
      </c>
      <c r="O195" s="6">
        <f>INDEX('[1]RTO Register'!R$2:R$698,MATCH($A195,'[1]RTO Register'!$AA$2:$AA$698,0))</f>
        <v>1</v>
      </c>
      <c r="P195" s="6">
        <f>INDEX('[1]RTO Register'!S$2:S$698,MATCH($A195,'[1]RTO Register'!$AA$2:$AA$698,0))</f>
        <v>1</v>
      </c>
      <c r="Q195" s="6">
        <f t="shared" si="5"/>
        <v>1</v>
      </c>
    </row>
    <row r="196" spans="1:17" x14ac:dyDescent="0.25">
      <c r="A196" t="str">
        <v>4612</v>
      </c>
      <c r="B196" t="str">
        <v>CEPU (Plumbing Division) Education and Training Centre Ltd</v>
      </c>
      <c r="C196" t="str">
        <v>CEPUTEC</v>
      </c>
      <c r="D196" t="str">
        <f>VLOOKUP(A196,'[1]RTO Register'!AA$2:AH693,8,FALSE)</f>
        <v>4101</v>
      </c>
      <c r="E196" s="8" t="s">
        <v>211</v>
      </c>
      <c r="F196" s="1" t="str">
        <f t="shared" ref="F196:F259" si="6">IFERROR(IF(R196=$L$2,"CRTD approved",""),"")</f>
        <v/>
      </c>
      <c r="G196" s="1" t="str">
        <f>IFERROR(IF(INDEX('[1]RTO Register'!AP$2:AP$698,MATCH($A196,'[1]RTO Register'!$AA$2:$AA$698,0))="Yes","School",""),"")</f>
        <v/>
      </c>
      <c r="H196" s="6">
        <f>INDEX('[1]RTO Register'!K$2:K$698,MATCH($A196,'[1]RTO Register'!$AA$2:$AA$698,0))</f>
        <v>1</v>
      </c>
      <c r="I196" s="6">
        <f>INDEX('[1]RTO Register'!L$2:L$698,MATCH($A196,'[1]RTO Register'!$AA$2:$AA$698,0))</f>
        <v>1</v>
      </c>
      <c r="J196" s="6">
        <f>INDEX('[1]RTO Register'!M$2:M$698,MATCH($A196,'[1]RTO Register'!$AA$2:$AA$698,0))</f>
        <v>1</v>
      </c>
      <c r="K196" s="6">
        <f>INDEX('[1]RTO Register'!N$2:N$698,MATCH($A196,'[1]RTO Register'!$AA$2:$AA$698,0))</f>
        <v>1</v>
      </c>
      <c r="L196" s="6">
        <f>INDEX('[1]RTO Register'!O$2:O$698,MATCH($A196,'[1]RTO Register'!$AA$2:$AA$698,0))</f>
        <v>1</v>
      </c>
      <c r="M196" s="6">
        <f>INDEX('[1]RTO Register'!P$2:P$698,MATCH($A196,'[1]RTO Register'!$AA$2:$AA$698,0))</f>
        <v>1</v>
      </c>
      <c r="N196" s="6">
        <f>INDEX('[1]RTO Register'!Q$2:Q$698,MATCH($A196,'[1]RTO Register'!$AA$2:$AA$698,0))</f>
        <v>1</v>
      </c>
      <c r="O196" s="6">
        <f>INDEX('[1]RTO Register'!R$2:R$698,MATCH($A196,'[1]RTO Register'!$AA$2:$AA$698,0))</f>
        <v>1</v>
      </c>
      <c r="P196" s="6">
        <f>INDEX('[1]RTO Register'!S$2:S$698,MATCH($A196,'[1]RTO Register'!$AA$2:$AA$698,0))</f>
        <v>1</v>
      </c>
      <c r="Q196" s="6">
        <f t="shared" ref="Q196:Q259" si="7">MAX(H196:P196)</f>
        <v>1</v>
      </c>
    </row>
    <row r="197" spans="1:17" x14ac:dyDescent="0.25">
      <c r="A197" t="str">
        <v>46244</v>
      </c>
      <c r="B197" t="str">
        <v>The Careers Academy</v>
      </c>
      <c r="C197" t="str">
        <v>The Careers Academy</v>
      </c>
      <c r="D197" t="str">
        <f>VLOOKUP(A197,'[1]RTO Register'!AA$2:AH694,8,FALSE)</f>
        <v>2199</v>
      </c>
      <c r="E197" s="8" t="s">
        <v>212</v>
      </c>
      <c r="F197" s="1" t="str">
        <f t="shared" si="6"/>
        <v/>
      </c>
      <c r="G197" s="1" t="str">
        <f>IFERROR(IF(INDEX('[1]RTO Register'!AP$2:AP$698,MATCH($A197,'[1]RTO Register'!$AA$2:$AA$698,0))="Yes","School",""),"")</f>
        <v/>
      </c>
      <c r="H197" s="6">
        <f>INDEX('[1]RTO Register'!K$2:K$698,MATCH($A197,'[1]RTO Register'!$AA$2:$AA$698,0))</f>
        <v>1</v>
      </c>
      <c r="I197" s="6">
        <f>INDEX('[1]RTO Register'!L$2:L$698,MATCH($A197,'[1]RTO Register'!$AA$2:$AA$698,0))</f>
        <v>1</v>
      </c>
      <c r="J197" s="6">
        <f>INDEX('[1]RTO Register'!M$2:M$698,MATCH($A197,'[1]RTO Register'!$AA$2:$AA$698,0))</f>
        <v>1</v>
      </c>
      <c r="K197" s="6">
        <f>INDEX('[1]RTO Register'!N$2:N$698,MATCH($A197,'[1]RTO Register'!$AA$2:$AA$698,0))</f>
        <v>1</v>
      </c>
      <c r="L197" s="6">
        <f>INDEX('[1]RTO Register'!O$2:O$698,MATCH($A197,'[1]RTO Register'!$AA$2:$AA$698,0))</f>
        <v>45803</v>
      </c>
      <c r="M197" s="6">
        <f>INDEX('[1]RTO Register'!P$2:P$698,MATCH($A197,'[1]RTO Register'!$AA$2:$AA$698,0))</f>
        <v>1</v>
      </c>
      <c r="N197" s="6">
        <f>INDEX('[1]RTO Register'!Q$2:Q$698,MATCH($A197,'[1]RTO Register'!$AA$2:$AA$698,0))</f>
        <v>1</v>
      </c>
      <c r="O197" s="6">
        <f>INDEX('[1]RTO Register'!R$2:R$698,MATCH($A197,'[1]RTO Register'!$AA$2:$AA$698,0))</f>
        <v>1</v>
      </c>
      <c r="P197" s="6">
        <f>INDEX('[1]RTO Register'!S$2:S$698,MATCH($A197,'[1]RTO Register'!$AA$2:$AA$698,0))</f>
        <v>1</v>
      </c>
      <c r="Q197" s="6">
        <f t="shared" si="7"/>
        <v>45803</v>
      </c>
    </row>
    <row r="198" spans="1:17" x14ac:dyDescent="0.25">
      <c r="A198" t="str">
        <v>46306</v>
      </c>
      <c r="B198" t="str">
        <v>St Joseph's Nudgee College</v>
      </c>
      <c r="C198" t="str">
        <v>St Joseph's Nudgee College</v>
      </c>
      <c r="D198" t="str">
        <f>VLOOKUP(A198,'[1]RTO Register'!AA$2:AH695,8,FALSE)</f>
        <v>4034</v>
      </c>
      <c r="E198" s="8" t="s">
        <v>213</v>
      </c>
      <c r="F198" s="1" t="str">
        <f t="shared" si="6"/>
        <v/>
      </c>
      <c r="G198" s="1" t="str">
        <f>IFERROR(IF(INDEX('[1]RTO Register'!AP$2:AP$698,MATCH($A198,'[1]RTO Register'!$AA$2:$AA$698,0))="Yes","School",""),"")</f>
        <v>School</v>
      </c>
      <c r="H198" s="6">
        <f>INDEX('[1]RTO Register'!K$2:K$698,MATCH($A198,'[1]RTO Register'!$AA$2:$AA$698,0))</f>
        <v>1</v>
      </c>
      <c r="I198" s="6">
        <f>INDEX('[1]RTO Register'!L$2:L$698,MATCH($A198,'[1]RTO Register'!$AA$2:$AA$698,0))</f>
        <v>1</v>
      </c>
      <c r="J198" s="6">
        <f>INDEX('[1]RTO Register'!M$2:M$698,MATCH($A198,'[1]RTO Register'!$AA$2:$AA$698,0))</f>
        <v>1</v>
      </c>
      <c r="K198" s="6">
        <f>INDEX('[1]RTO Register'!N$2:N$698,MATCH($A198,'[1]RTO Register'!$AA$2:$AA$698,0))</f>
        <v>1</v>
      </c>
      <c r="L198" s="6">
        <f>INDEX('[1]RTO Register'!O$2:O$698,MATCH($A198,'[1]RTO Register'!$AA$2:$AA$698,0))</f>
        <v>1</v>
      </c>
      <c r="M198" s="6">
        <f>INDEX('[1]RTO Register'!P$2:P$698,MATCH($A198,'[1]RTO Register'!$AA$2:$AA$698,0))</f>
        <v>1</v>
      </c>
      <c r="N198" s="6">
        <f>INDEX('[1]RTO Register'!Q$2:Q$698,MATCH($A198,'[1]RTO Register'!$AA$2:$AA$698,0))</f>
        <v>1</v>
      </c>
      <c r="O198" s="6">
        <f>INDEX('[1]RTO Register'!R$2:R$698,MATCH($A198,'[1]RTO Register'!$AA$2:$AA$698,0))</f>
        <v>1</v>
      </c>
      <c r="P198" s="6">
        <f>INDEX('[1]RTO Register'!S$2:S$698,MATCH($A198,'[1]RTO Register'!$AA$2:$AA$698,0))</f>
        <v>1</v>
      </c>
      <c r="Q198" s="6">
        <f t="shared" si="7"/>
        <v>1</v>
      </c>
    </row>
    <row r="199" spans="1:17" x14ac:dyDescent="0.25">
      <c r="A199" t="str">
        <v>51333</v>
      </c>
      <c r="B199" t="str">
        <v>Centre for Excellence in Rail Training Pty Ltd</v>
      </c>
      <c r="C199" t="str">
        <v>Centre For Excellence in Rail Training</v>
      </c>
      <c r="D199" t="str">
        <f>VLOOKUP(A199,'[1]RTO Register'!AA$2:AH696,8,FALSE)</f>
        <v>3000</v>
      </c>
      <c r="E199" s="8" t="s">
        <v>214</v>
      </c>
      <c r="F199" s="1" t="str">
        <f t="shared" si="6"/>
        <v/>
      </c>
      <c r="G199" s="1" t="str">
        <f>IFERROR(IF(INDEX('[1]RTO Register'!AP$2:AP$698,MATCH($A199,'[1]RTO Register'!$AA$2:$AA$698,0))="Yes","School",""),"")</f>
        <v/>
      </c>
      <c r="H199" s="6">
        <f>INDEX('[1]RTO Register'!K$2:K$698,MATCH($A199,'[1]RTO Register'!$AA$2:$AA$698,0))</f>
        <v>1</v>
      </c>
      <c r="I199" s="6">
        <f>INDEX('[1]RTO Register'!L$2:L$698,MATCH($A199,'[1]RTO Register'!$AA$2:$AA$698,0))</f>
        <v>1</v>
      </c>
      <c r="J199" s="6">
        <f>INDEX('[1]RTO Register'!M$2:M$698,MATCH($A199,'[1]RTO Register'!$AA$2:$AA$698,0))</f>
        <v>1</v>
      </c>
      <c r="K199" s="6">
        <f>INDEX('[1]RTO Register'!N$2:N$698,MATCH($A199,'[1]RTO Register'!$AA$2:$AA$698,0))</f>
        <v>1</v>
      </c>
      <c r="L199" s="6">
        <f>INDEX('[1]RTO Register'!O$2:O$698,MATCH($A199,'[1]RTO Register'!$AA$2:$AA$698,0))</f>
        <v>1</v>
      </c>
      <c r="M199" s="6">
        <f>INDEX('[1]RTO Register'!P$2:P$698,MATCH($A199,'[1]RTO Register'!$AA$2:$AA$698,0))</f>
        <v>1</v>
      </c>
      <c r="N199" s="6">
        <f>INDEX('[1]RTO Register'!Q$2:Q$698,MATCH($A199,'[1]RTO Register'!$AA$2:$AA$698,0))</f>
        <v>1</v>
      </c>
      <c r="O199" s="6">
        <f>INDEX('[1]RTO Register'!R$2:R$698,MATCH($A199,'[1]RTO Register'!$AA$2:$AA$698,0))</f>
        <v>1</v>
      </c>
      <c r="P199" s="6">
        <f>INDEX('[1]RTO Register'!S$2:S$698,MATCH($A199,'[1]RTO Register'!$AA$2:$AA$698,0))</f>
        <v>1</v>
      </c>
      <c r="Q199" s="6">
        <f t="shared" si="7"/>
        <v>1</v>
      </c>
    </row>
    <row r="200" spans="1:17" x14ac:dyDescent="0.25">
      <c r="A200" t="str">
        <v>51681</v>
      </c>
      <c r="B200" t="str">
        <v>Everthought College of Construction Pty Ltd</v>
      </c>
      <c r="C200" t="str">
        <v>Australian Institute of ICT</v>
      </c>
      <c r="D200" t="str">
        <f>VLOOKUP(A200,'[1]RTO Register'!AA$2:AH697,8,FALSE)</f>
        <v>6107</v>
      </c>
      <c r="E200" s="8" t="s">
        <v>215</v>
      </c>
      <c r="F200" s="1" t="str">
        <f t="shared" si="6"/>
        <v/>
      </c>
      <c r="G200" s="1" t="str">
        <f>IFERROR(IF(INDEX('[1]RTO Register'!AP$2:AP$698,MATCH($A200,'[1]RTO Register'!$AA$2:$AA$698,0))="Yes","School",""),"")</f>
        <v/>
      </c>
      <c r="H200" s="6">
        <f>INDEX('[1]RTO Register'!K$2:K$698,MATCH($A200,'[1]RTO Register'!$AA$2:$AA$698,0))</f>
        <v>1</v>
      </c>
      <c r="I200" s="6">
        <f>INDEX('[1]RTO Register'!L$2:L$698,MATCH($A200,'[1]RTO Register'!$AA$2:$AA$698,0))</f>
        <v>1</v>
      </c>
      <c r="J200" s="6">
        <f>INDEX('[1]RTO Register'!M$2:M$698,MATCH($A200,'[1]RTO Register'!$AA$2:$AA$698,0))</f>
        <v>1</v>
      </c>
      <c r="K200" s="6">
        <f>INDEX('[1]RTO Register'!N$2:N$698,MATCH($A200,'[1]RTO Register'!$AA$2:$AA$698,0))</f>
        <v>1</v>
      </c>
      <c r="L200" s="6">
        <f>INDEX('[1]RTO Register'!O$2:O$698,MATCH($A200,'[1]RTO Register'!$AA$2:$AA$698,0))</f>
        <v>1</v>
      </c>
      <c r="M200" s="6">
        <f>INDEX('[1]RTO Register'!P$2:P$698,MATCH($A200,'[1]RTO Register'!$AA$2:$AA$698,0))</f>
        <v>1</v>
      </c>
      <c r="N200" s="6">
        <f>INDEX('[1]RTO Register'!Q$2:Q$698,MATCH($A200,'[1]RTO Register'!$AA$2:$AA$698,0))</f>
        <v>1</v>
      </c>
      <c r="O200" s="6">
        <f>INDEX('[1]RTO Register'!R$2:R$698,MATCH($A200,'[1]RTO Register'!$AA$2:$AA$698,0))</f>
        <v>1</v>
      </c>
      <c r="P200" s="6">
        <f>INDEX('[1]RTO Register'!S$2:S$698,MATCH($A200,'[1]RTO Register'!$AA$2:$AA$698,0))</f>
        <v>1</v>
      </c>
      <c r="Q200" s="6">
        <f t="shared" si="7"/>
        <v>1</v>
      </c>
    </row>
    <row r="201" spans="1:17" x14ac:dyDescent="0.25">
      <c r="A201" t="str">
        <v>52811</v>
      </c>
      <c r="B201" t="str">
        <v>Streamline Training Group Pty Ltd</v>
      </c>
      <c r="C201" t="str">
        <v>Streamline Training</v>
      </c>
      <c r="D201" t="str">
        <f>VLOOKUP(A201,'[1]RTO Register'!AA$2:AH698,8,FALSE)</f>
        <v>6051</v>
      </c>
      <c r="E201" s="8" t="s">
        <v>212</v>
      </c>
      <c r="F201" s="1" t="str">
        <f t="shared" si="6"/>
        <v/>
      </c>
      <c r="G201" s="1" t="str">
        <f>IFERROR(IF(INDEX('[1]RTO Register'!AP$2:AP$698,MATCH($A201,'[1]RTO Register'!$AA$2:$AA$698,0))="Yes","School",""),"")</f>
        <v/>
      </c>
      <c r="H201" s="6">
        <f>INDEX('[1]RTO Register'!K$2:K$698,MATCH($A201,'[1]RTO Register'!$AA$2:$AA$698,0))</f>
        <v>1</v>
      </c>
      <c r="I201" s="6">
        <f>INDEX('[1]RTO Register'!L$2:L$698,MATCH($A201,'[1]RTO Register'!$AA$2:$AA$698,0))</f>
        <v>1</v>
      </c>
      <c r="J201" s="6">
        <f>INDEX('[1]RTO Register'!M$2:M$698,MATCH($A201,'[1]RTO Register'!$AA$2:$AA$698,0))</f>
        <v>1</v>
      </c>
      <c r="K201" s="6">
        <f>INDEX('[1]RTO Register'!N$2:N$698,MATCH($A201,'[1]RTO Register'!$AA$2:$AA$698,0))</f>
        <v>1</v>
      </c>
      <c r="L201" s="6">
        <f>INDEX('[1]RTO Register'!O$2:O$698,MATCH($A201,'[1]RTO Register'!$AA$2:$AA$698,0))</f>
        <v>1</v>
      </c>
      <c r="M201" s="6">
        <f>INDEX('[1]RTO Register'!P$2:P$698,MATCH($A201,'[1]RTO Register'!$AA$2:$AA$698,0))</f>
        <v>1</v>
      </c>
      <c r="N201" s="6">
        <f>INDEX('[1]RTO Register'!Q$2:Q$698,MATCH($A201,'[1]RTO Register'!$AA$2:$AA$698,0))</f>
        <v>1</v>
      </c>
      <c r="O201" s="6">
        <f>INDEX('[1]RTO Register'!R$2:R$698,MATCH($A201,'[1]RTO Register'!$AA$2:$AA$698,0))</f>
        <v>1</v>
      </c>
      <c r="P201" s="6">
        <f>INDEX('[1]RTO Register'!S$2:S$698,MATCH($A201,'[1]RTO Register'!$AA$2:$AA$698,0))</f>
        <v>1</v>
      </c>
      <c r="Q201" s="6">
        <f t="shared" si="7"/>
        <v>1</v>
      </c>
    </row>
    <row r="202" spans="1:17" x14ac:dyDescent="0.25">
      <c r="A202" t="str">
        <v>5363</v>
      </c>
      <c r="B202" t="str">
        <v>Nombay Pty. Ltd.</v>
      </c>
      <c r="C202" t="str">
        <v>Advanced Industry Training</v>
      </c>
      <c r="D202" t="str">
        <f>VLOOKUP(A202,'[1]RTO Register'!AA$2:AH699,8,FALSE)</f>
        <v>4810</v>
      </c>
      <c r="E202" s="8" t="s">
        <v>216</v>
      </c>
      <c r="F202" s="1" t="str">
        <f t="shared" si="6"/>
        <v/>
      </c>
      <c r="G202" s="1" t="str">
        <f>IFERROR(IF(INDEX('[1]RTO Register'!AP$2:AP$698,MATCH($A202,'[1]RTO Register'!$AA$2:$AA$698,0))="Yes","School",""),"")</f>
        <v/>
      </c>
      <c r="H202" s="6">
        <f>INDEX('[1]RTO Register'!K$2:K$698,MATCH($A202,'[1]RTO Register'!$AA$2:$AA$698,0))</f>
        <v>1</v>
      </c>
      <c r="I202" s="6">
        <f>INDEX('[1]RTO Register'!L$2:L$698,MATCH($A202,'[1]RTO Register'!$AA$2:$AA$698,0))</f>
        <v>1</v>
      </c>
      <c r="J202" s="6">
        <f>INDEX('[1]RTO Register'!M$2:M$698,MATCH($A202,'[1]RTO Register'!$AA$2:$AA$698,0))</f>
        <v>1</v>
      </c>
      <c r="K202" s="6">
        <f>INDEX('[1]RTO Register'!N$2:N$698,MATCH($A202,'[1]RTO Register'!$AA$2:$AA$698,0))</f>
        <v>1</v>
      </c>
      <c r="L202" s="6">
        <f>INDEX('[1]RTO Register'!O$2:O$698,MATCH($A202,'[1]RTO Register'!$AA$2:$AA$698,0))</f>
        <v>1</v>
      </c>
      <c r="M202" s="6">
        <f>INDEX('[1]RTO Register'!P$2:P$698,MATCH($A202,'[1]RTO Register'!$AA$2:$AA$698,0))</f>
        <v>1</v>
      </c>
      <c r="N202" s="6">
        <f>INDEX('[1]RTO Register'!Q$2:Q$698,MATCH($A202,'[1]RTO Register'!$AA$2:$AA$698,0))</f>
        <v>1</v>
      </c>
      <c r="O202" s="6">
        <f>INDEX('[1]RTO Register'!R$2:R$698,MATCH($A202,'[1]RTO Register'!$AA$2:$AA$698,0))</f>
        <v>1</v>
      </c>
      <c r="P202" s="6">
        <f>INDEX('[1]RTO Register'!S$2:S$698,MATCH($A202,'[1]RTO Register'!$AA$2:$AA$698,0))</f>
        <v>1</v>
      </c>
      <c r="Q202" s="6">
        <f t="shared" si="7"/>
        <v>1</v>
      </c>
    </row>
    <row r="203" spans="1:17" x14ac:dyDescent="0.25">
      <c r="A203" t="str">
        <v>5388</v>
      </c>
      <c r="B203" t="str">
        <v>Challenge Employment &amp; Training Ltd</v>
      </c>
      <c r="C203" t="str">
        <v>N/A</v>
      </c>
      <c r="D203" t="str">
        <f>VLOOKUP(A203,'[1]RTO Register'!AA$2:AH700,8,FALSE)</f>
        <v>4301</v>
      </c>
      <c r="E203" s="8" t="s">
        <v>217</v>
      </c>
      <c r="F203" s="1" t="str">
        <f t="shared" si="6"/>
        <v/>
      </c>
      <c r="G203" s="1" t="str">
        <f>IFERROR(IF(INDEX('[1]RTO Register'!AP$2:AP$698,MATCH($A203,'[1]RTO Register'!$AA$2:$AA$698,0))="Yes","School",""),"")</f>
        <v/>
      </c>
      <c r="H203" s="6">
        <f>INDEX('[1]RTO Register'!K$2:K$698,MATCH($A203,'[1]RTO Register'!$AA$2:$AA$698,0))</f>
        <v>1</v>
      </c>
      <c r="I203" s="6">
        <f>INDEX('[1]RTO Register'!L$2:L$698,MATCH($A203,'[1]RTO Register'!$AA$2:$AA$698,0))</f>
        <v>1</v>
      </c>
      <c r="J203" s="6">
        <f>INDEX('[1]RTO Register'!M$2:M$698,MATCH($A203,'[1]RTO Register'!$AA$2:$AA$698,0))</f>
        <v>1</v>
      </c>
      <c r="K203" s="6">
        <f>INDEX('[1]RTO Register'!N$2:N$698,MATCH($A203,'[1]RTO Register'!$AA$2:$AA$698,0))</f>
        <v>1</v>
      </c>
      <c r="L203" s="6">
        <f>INDEX('[1]RTO Register'!O$2:O$698,MATCH($A203,'[1]RTO Register'!$AA$2:$AA$698,0))</f>
        <v>1</v>
      </c>
      <c r="M203" s="6">
        <f>INDEX('[1]RTO Register'!P$2:P$698,MATCH($A203,'[1]RTO Register'!$AA$2:$AA$698,0))</f>
        <v>1</v>
      </c>
      <c r="N203" s="6">
        <f>INDEX('[1]RTO Register'!Q$2:Q$698,MATCH($A203,'[1]RTO Register'!$AA$2:$AA$698,0))</f>
        <v>1</v>
      </c>
      <c r="O203" s="6">
        <f>INDEX('[1]RTO Register'!R$2:R$698,MATCH($A203,'[1]RTO Register'!$AA$2:$AA$698,0))</f>
        <v>1</v>
      </c>
      <c r="P203" s="6">
        <f>INDEX('[1]RTO Register'!S$2:S$698,MATCH($A203,'[1]RTO Register'!$AA$2:$AA$698,0))</f>
        <v>1</v>
      </c>
      <c r="Q203" s="6">
        <f t="shared" si="7"/>
        <v>1</v>
      </c>
    </row>
    <row r="204" spans="1:17" x14ac:dyDescent="0.25">
      <c r="A204" t="str">
        <v>5553</v>
      </c>
      <c r="B204" t="str">
        <v>Karingal St Laurence Limited</v>
      </c>
      <c r="C204" t="str">
        <v>GenU Training</v>
      </c>
      <c r="D204" t="str">
        <f>VLOOKUP(A204,'[1]RTO Register'!AA$2:AH701,8,FALSE)</f>
        <v>3216</v>
      </c>
      <c r="E204" s="8" t="s">
        <v>218</v>
      </c>
      <c r="F204" s="1" t="str">
        <f t="shared" si="6"/>
        <v/>
      </c>
      <c r="G204" s="1" t="str">
        <f>IFERROR(IF(INDEX('[1]RTO Register'!AP$2:AP$698,MATCH($A204,'[1]RTO Register'!$AA$2:$AA$698,0))="Yes","School",""),"")</f>
        <v/>
      </c>
      <c r="H204" s="6">
        <f>INDEX('[1]RTO Register'!K$2:K$698,MATCH($A204,'[1]RTO Register'!$AA$2:$AA$698,0))</f>
        <v>44418</v>
      </c>
      <c r="I204" s="6">
        <f>INDEX('[1]RTO Register'!L$2:L$698,MATCH($A204,'[1]RTO Register'!$AA$2:$AA$698,0))</f>
        <v>1</v>
      </c>
      <c r="J204" s="6">
        <f>INDEX('[1]RTO Register'!M$2:M$698,MATCH($A204,'[1]RTO Register'!$AA$2:$AA$698,0))</f>
        <v>1</v>
      </c>
      <c r="K204" s="6">
        <f>INDEX('[1]RTO Register'!N$2:N$698,MATCH($A204,'[1]RTO Register'!$AA$2:$AA$698,0))</f>
        <v>1</v>
      </c>
      <c r="L204" s="6">
        <f>INDEX('[1]RTO Register'!O$2:O$698,MATCH($A204,'[1]RTO Register'!$AA$2:$AA$698,0))</f>
        <v>1</v>
      </c>
      <c r="M204" s="6">
        <f>INDEX('[1]RTO Register'!P$2:P$698,MATCH($A204,'[1]RTO Register'!$AA$2:$AA$698,0))</f>
        <v>1</v>
      </c>
      <c r="N204" s="6">
        <f>INDEX('[1]RTO Register'!Q$2:Q$698,MATCH($A204,'[1]RTO Register'!$AA$2:$AA$698,0))</f>
        <v>1</v>
      </c>
      <c r="O204" s="6">
        <f>INDEX('[1]RTO Register'!R$2:R$698,MATCH($A204,'[1]RTO Register'!$AA$2:$AA$698,0))</f>
        <v>1</v>
      </c>
      <c r="P204" s="6">
        <f>INDEX('[1]RTO Register'!S$2:S$698,MATCH($A204,'[1]RTO Register'!$AA$2:$AA$698,0))</f>
        <v>1</v>
      </c>
      <c r="Q204" s="6">
        <f t="shared" si="7"/>
        <v>44418</v>
      </c>
    </row>
    <row r="205" spans="1:17" x14ac:dyDescent="0.25">
      <c r="A205" t="str">
        <v>5708</v>
      </c>
      <c r="B205" t="str">
        <v>Civil Contractors Federation</v>
      </c>
      <c r="C205" t="str">
        <v>N/A</v>
      </c>
      <c r="D205" t="str">
        <f>VLOOKUP(A205,'[1]RTO Register'!AA$2:AH702,8,FALSE)</f>
        <v>4113</v>
      </c>
      <c r="E205" s="8" t="s">
        <v>219</v>
      </c>
      <c r="F205" s="1" t="str">
        <f t="shared" si="6"/>
        <v/>
      </c>
      <c r="G205" s="1" t="str">
        <f>IFERROR(IF(INDEX('[1]RTO Register'!AP$2:AP$698,MATCH($A205,'[1]RTO Register'!$AA$2:$AA$698,0))="Yes","School",""),"")</f>
        <v/>
      </c>
      <c r="H205" s="6">
        <f>INDEX('[1]RTO Register'!K$2:K$698,MATCH($A205,'[1]RTO Register'!$AA$2:$AA$698,0))</f>
        <v>1</v>
      </c>
      <c r="I205" s="6">
        <f>INDEX('[1]RTO Register'!L$2:L$698,MATCH($A205,'[1]RTO Register'!$AA$2:$AA$698,0))</f>
        <v>1</v>
      </c>
      <c r="J205" s="6">
        <f>INDEX('[1]RTO Register'!M$2:M$698,MATCH($A205,'[1]RTO Register'!$AA$2:$AA$698,0))</f>
        <v>1</v>
      </c>
      <c r="K205" s="6">
        <f>INDEX('[1]RTO Register'!N$2:N$698,MATCH($A205,'[1]RTO Register'!$AA$2:$AA$698,0))</f>
        <v>1</v>
      </c>
      <c r="L205" s="6">
        <f>INDEX('[1]RTO Register'!O$2:O$698,MATCH($A205,'[1]RTO Register'!$AA$2:$AA$698,0))</f>
        <v>1</v>
      </c>
      <c r="M205" s="6">
        <f>INDEX('[1]RTO Register'!P$2:P$698,MATCH($A205,'[1]RTO Register'!$AA$2:$AA$698,0))</f>
        <v>1</v>
      </c>
      <c r="N205" s="6">
        <f>INDEX('[1]RTO Register'!Q$2:Q$698,MATCH($A205,'[1]RTO Register'!$AA$2:$AA$698,0))</f>
        <v>1</v>
      </c>
      <c r="O205" s="6">
        <f>INDEX('[1]RTO Register'!R$2:R$698,MATCH($A205,'[1]RTO Register'!$AA$2:$AA$698,0))</f>
        <v>1</v>
      </c>
      <c r="P205" s="6">
        <f>INDEX('[1]RTO Register'!S$2:S$698,MATCH($A205,'[1]RTO Register'!$AA$2:$AA$698,0))</f>
        <v>1</v>
      </c>
      <c r="Q205" s="6">
        <f t="shared" si="7"/>
        <v>1</v>
      </c>
    </row>
    <row r="206" spans="1:17" x14ac:dyDescent="0.25">
      <c r="A206" t="str">
        <v>5768</v>
      </c>
      <c r="B206" t="str">
        <v>Current Training (Qld) Pty Ltd</v>
      </c>
      <c r="C206" t="str">
        <v>Current Training QLD Pty Ltd</v>
      </c>
      <c r="D206" t="str">
        <f>VLOOKUP(A206,'[1]RTO Register'!AA$2:AH703,8,FALSE)</f>
        <v>4506</v>
      </c>
      <c r="E206" s="8" t="s">
        <v>220</v>
      </c>
      <c r="F206" s="1" t="str">
        <f t="shared" si="6"/>
        <v/>
      </c>
      <c r="G206" s="1" t="str">
        <f>IFERROR(IF(INDEX('[1]RTO Register'!AP$2:AP$698,MATCH($A206,'[1]RTO Register'!$AA$2:$AA$698,0))="Yes","School",""),"")</f>
        <v/>
      </c>
      <c r="H206" s="6">
        <f>INDEX('[1]RTO Register'!K$2:K$698,MATCH($A206,'[1]RTO Register'!$AA$2:$AA$698,0))</f>
        <v>1</v>
      </c>
      <c r="I206" s="6">
        <f>INDEX('[1]RTO Register'!L$2:L$698,MATCH($A206,'[1]RTO Register'!$AA$2:$AA$698,0))</f>
        <v>1</v>
      </c>
      <c r="J206" s="6">
        <f>INDEX('[1]RTO Register'!M$2:M$698,MATCH($A206,'[1]RTO Register'!$AA$2:$AA$698,0))</f>
        <v>1</v>
      </c>
      <c r="K206" s="6">
        <f>INDEX('[1]RTO Register'!N$2:N$698,MATCH($A206,'[1]RTO Register'!$AA$2:$AA$698,0))</f>
        <v>1</v>
      </c>
      <c r="L206" s="6">
        <f>INDEX('[1]RTO Register'!O$2:O$698,MATCH($A206,'[1]RTO Register'!$AA$2:$AA$698,0))</f>
        <v>1</v>
      </c>
      <c r="M206" s="6">
        <f>INDEX('[1]RTO Register'!P$2:P$698,MATCH($A206,'[1]RTO Register'!$AA$2:$AA$698,0))</f>
        <v>1</v>
      </c>
      <c r="N206" s="6">
        <f>INDEX('[1]RTO Register'!Q$2:Q$698,MATCH($A206,'[1]RTO Register'!$AA$2:$AA$698,0))</f>
        <v>1</v>
      </c>
      <c r="O206" s="6">
        <f>INDEX('[1]RTO Register'!R$2:R$698,MATCH($A206,'[1]RTO Register'!$AA$2:$AA$698,0))</f>
        <v>1</v>
      </c>
      <c r="P206" s="6">
        <f>INDEX('[1]RTO Register'!S$2:S$698,MATCH($A206,'[1]RTO Register'!$AA$2:$AA$698,0))</f>
        <v>1</v>
      </c>
      <c r="Q206" s="6">
        <f t="shared" si="7"/>
        <v>1</v>
      </c>
    </row>
    <row r="207" spans="1:17" x14ac:dyDescent="0.25">
      <c r="A207" t="str">
        <v>6139</v>
      </c>
      <c r="B207" t="str">
        <v>Ashtrail Pty Ltd</v>
      </c>
      <c r="C207" t="str">
        <v>Major Training Group</v>
      </c>
      <c r="D207" t="str">
        <f>VLOOKUP(A207,'[1]RTO Register'!AA$2:AH704,8,FALSE)</f>
        <v>4207</v>
      </c>
      <c r="E207" s="8" t="s">
        <v>221</v>
      </c>
      <c r="F207" s="1" t="str">
        <f t="shared" si="6"/>
        <v/>
      </c>
      <c r="G207" s="1" t="str">
        <f>IFERROR(IF(INDEX('[1]RTO Register'!AP$2:AP$698,MATCH($A207,'[1]RTO Register'!$AA$2:$AA$698,0))="Yes","School",""),"")</f>
        <v/>
      </c>
      <c r="H207" s="6">
        <f>INDEX('[1]RTO Register'!K$2:K$698,MATCH($A207,'[1]RTO Register'!$AA$2:$AA$698,0))</f>
        <v>1</v>
      </c>
      <c r="I207" s="6">
        <f>INDEX('[1]RTO Register'!L$2:L$698,MATCH($A207,'[1]RTO Register'!$AA$2:$AA$698,0))</f>
        <v>1</v>
      </c>
      <c r="J207" s="6">
        <f>INDEX('[1]RTO Register'!M$2:M$698,MATCH($A207,'[1]RTO Register'!$AA$2:$AA$698,0))</f>
        <v>1</v>
      </c>
      <c r="K207" s="6">
        <f>INDEX('[1]RTO Register'!N$2:N$698,MATCH($A207,'[1]RTO Register'!$AA$2:$AA$698,0))</f>
        <v>1</v>
      </c>
      <c r="L207" s="6">
        <f>INDEX('[1]RTO Register'!O$2:O$698,MATCH($A207,'[1]RTO Register'!$AA$2:$AA$698,0))</f>
        <v>1</v>
      </c>
      <c r="M207" s="6">
        <f>INDEX('[1]RTO Register'!P$2:P$698,MATCH($A207,'[1]RTO Register'!$AA$2:$AA$698,0))</f>
        <v>1</v>
      </c>
      <c r="N207" s="6">
        <f>INDEX('[1]RTO Register'!Q$2:Q$698,MATCH($A207,'[1]RTO Register'!$AA$2:$AA$698,0))</f>
        <v>1</v>
      </c>
      <c r="O207" s="6">
        <f>INDEX('[1]RTO Register'!R$2:R$698,MATCH($A207,'[1]RTO Register'!$AA$2:$AA$698,0))</f>
        <v>1</v>
      </c>
      <c r="P207" s="6">
        <f>INDEX('[1]RTO Register'!S$2:S$698,MATCH($A207,'[1]RTO Register'!$AA$2:$AA$698,0))</f>
        <v>1</v>
      </c>
      <c r="Q207" s="6">
        <f t="shared" si="7"/>
        <v>1</v>
      </c>
    </row>
    <row r="208" spans="1:17" x14ac:dyDescent="0.25">
      <c r="A208" t="str">
        <v>6491</v>
      </c>
      <c r="B208" t="str">
        <v>CC Joy Enterprises Pty Ltd</v>
      </c>
      <c r="C208" t="str">
        <v>Col Joy Training Services</v>
      </c>
      <c r="D208" t="str">
        <f>VLOOKUP(A208,'[1]RTO Register'!AA$2:AH705,8,FALSE)</f>
        <v>4740</v>
      </c>
      <c r="E208" s="8" t="s">
        <v>222</v>
      </c>
      <c r="F208" s="1" t="str">
        <f t="shared" si="6"/>
        <v/>
      </c>
      <c r="G208" s="1" t="str">
        <f>IFERROR(IF(INDEX('[1]RTO Register'!AP$2:AP$698,MATCH($A208,'[1]RTO Register'!$AA$2:$AA$698,0))="Yes","School",""),"")</f>
        <v/>
      </c>
      <c r="H208" s="6">
        <f>INDEX('[1]RTO Register'!K$2:K$698,MATCH($A208,'[1]RTO Register'!$AA$2:$AA$698,0))</f>
        <v>1</v>
      </c>
      <c r="I208" s="6">
        <f>INDEX('[1]RTO Register'!L$2:L$698,MATCH($A208,'[1]RTO Register'!$AA$2:$AA$698,0))</f>
        <v>1</v>
      </c>
      <c r="J208" s="6">
        <f>INDEX('[1]RTO Register'!M$2:M$698,MATCH($A208,'[1]RTO Register'!$AA$2:$AA$698,0))</f>
        <v>1</v>
      </c>
      <c r="K208" s="6">
        <f>INDEX('[1]RTO Register'!N$2:N$698,MATCH($A208,'[1]RTO Register'!$AA$2:$AA$698,0))</f>
        <v>1</v>
      </c>
      <c r="L208" s="6">
        <f>INDEX('[1]RTO Register'!O$2:O$698,MATCH($A208,'[1]RTO Register'!$AA$2:$AA$698,0))</f>
        <v>1</v>
      </c>
      <c r="M208" s="6">
        <f>INDEX('[1]RTO Register'!P$2:P$698,MATCH($A208,'[1]RTO Register'!$AA$2:$AA$698,0))</f>
        <v>1</v>
      </c>
      <c r="N208" s="6">
        <f>INDEX('[1]RTO Register'!Q$2:Q$698,MATCH($A208,'[1]RTO Register'!$AA$2:$AA$698,0))</f>
        <v>1</v>
      </c>
      <c r="O208" s="6">
        <f>INDEX('[1]RTO Register'!R$2:R$698,MATCH($A208,'[1]RTO Register'!$AA$2:$AA$698,0))</f>
        <v>1</v>
      </c>
      <c r="P208" s="6">
        <f>INDEX('[1]RTO Register'!S$2:S$698,MATCH($A208,'[1]RTO Register'!$AA$2:$AA$698,0))</f>
        <v>1</v>
      </c>
      <c r="Q208" s="6">
        <f t="shared" si="7"/>
        <v>1</v>
      </c>
    </row>
    <row r="209" spans="1:17" x14ac:dyDescent="0.25">
      <c r="A209" t="str">
        <v>6859</v>
      </c>
      <c r="B209" t="str">
        <v>Milcom Communications Pty Ltd</v>
      </c>
      <c r="C209" t="str">
        <v>Milcom Institute</v>
      </c>
      <c r="D209" t="str">
        <f>VLOOKUP(A209,'[1]RTO Register'!AA$2:AH706,8,FALSE)</f>
        <v>3168</v>
      </c>
      <c r="E209" s="8" t="s">
        <v>223</v>
      </c>
      <c r="F209" s="1" t="str">
        <f t="shared" si="6"/>
        <v/>
      </c>
      <c r="G209" s="1" t="str">
        <f>IFERROR(IF(INDEX('[1]RTO Register'!AP$2:AP$698,MATCH($A209,'[1]RTO Register'!$AA$2:$AA$698,0))="Yes","School",""),"")</f>
        <v/>
      </c>
      <c r="H209" s="6">
        <f>INDEX('[1]RTO Register'!K$2:K$698,MATCH($A209,'[1]RTO Register'!$AA$2:$AA$698,0))</f>
        <v>1</v>
      </c>
      <c r="I209" s="6">
        <f>INDEX('[1]RTO Register'!L$2:L$698,MATCH($A209,'[1]RTO Register'!$AA$2:$AA$698,0))</f>
        <v>1</v>
      </c>
      <c r="J209" s="6">
        <f>INDEX('[1]RTO Register'!M$2:M$698,MATCH($A209,'[1]RTO Register'!$AA$2:$AA$698,0))</f>
        <v>1</v>
      </c>
      <c r="K209" s="6">
        <f>INDEX('[1]RTO Register'!N$2:N$698,MATCH($A209,'[1]RTO Register'!$AA$2:$AA$698,0))</f>
        <v>1</v>
      </c>
      <c r="L209" s="6">
        <f>INDEX('[1]RTO Register'!O$2:O$698,MATCH($A209,'[1]RTO Register'!$AA$2:$AA$698,0))</f>
        <v>1</v>
      </c>
      <c r="M209" s="6">
        <f>INDEX('[1]RTO Register'!P$2:P$698,MATCH($A209,'[1]RTO Register'!$AA$2:$AA$698,0))</f>
        <v>1</v>
      </c>
      <c r="N209" s="6">
        <f>INDEX('[1]RTO Register'!Q$2:Q$698,MATCH($A209,'[1]RTO Register'!$AA$2:$AA$698,0))</f>
        <v>1</v>
      </c>
      <c r="O209" s="6">
        <f>INDEX('[1]RTO Register'!R$2:R$698,MATCH($A209,'[1]RTO Register'!$AA$2:$AA$698,0))</f>
        <v>1</v>
      </c>
      <c r="P209" s="6">
        <f>INDEX('[1]RTO Register'!S$2:S$698,MATCH($A209,'[1]RTO Register'!$AA$2:$AA$698,0))</f>
        <v>1</v>
      </c>
      <c r="Q209" s="6">
        <f t="shared" si="7"/>
        <v>1</v>
      </c>
    </row>
    <row r="210" spans="1:17" x14ac:dyDescent="0.25">
      <c r="A210" t="str">
        <v>70023</v>
      </c>
      <c r="B210" t="str">
        <v>IM Training Pty Ltd</v>
      </c>
      <c r="C210" t="str">
        <v>On The Job Training</v>
      </c>
      <c r="D210" t="str">
        <f>VLOOKUP(A210,'[1]RTO Register'!AA$2:AH707,8,FALSE)</f>
        <v>4207</v>
      </c>
      <c r="E210" s="8" t="s">
        <v>224</v>
      </c>
      <c r="F210" s="1" t="str">
        <f t="shared" si="6"/>
        <v/>
      </c>
      <c r="G210" s="1" t="str">
        <f>IFERROR(IF(INDEX('[1]RTO Register'!AP$2:AP$698,MATCH($A210,'[1]RTO Register'!$AA$2:$AA$698,0))="Yes","School",""),"")</f>
        <v/>
      </c>
      <c r="H210" s="6">
        <f>INDEX('[1]RTO Register'!K$2:K$698,MATCH($A210,'[1]RTO Register'!$AA$2:$AA$698,0))</f>
        <v>1</v>
      </c>
      <c r="I210" s="6">
        <f>INDEX('[1]RTO Register'!L$2:L$698,MATCH($A210,'[1]RTO Register'!$AA$2:$AA$698,0))</f>
        <v>1</v>
      </c>
      <c r="J210" s="6">
        <f>INDEX('[1]RTO Register'!M$2:M$698,MATCH($A210,'[1]RTO Register'!$AA$2:$AA$698,0))</f>
        <v>1</v>
      </c>
      <c r="K210" s="6">
        <f>INDEX('[1]RTO Register'!N$2:N$698,MATCH($A210,'[1]RTO Register'!$AA$2:$AA$698,0))</f>
        <v>1</v>
      </c>
      <c r="L210" s="6">
        <f>INDEX('[1]RTO Register'!O$2:O$698,MATCH($A210,'[1]RTO Register'!$AA$2:$AA$698,0))</f>
        <v>1</v>
      </c>
      <c r="M210" s="6">
        <f>INDEX('[1]RTO Register'!P$2:P$698,MATCH($A210,'[1]RTO Register'!$AA$2:$AA$698,0))</f>
        <v>1</v>
      </c>
      <c r="N210" s="6">
        <f>INDEX('[1]RTO Register'!Q$2:Q$698,MATCH($A210,'[1]RTO Register'!$AA$2:$AA$698,0))</f>
        <v>1</v>
      </c>
      <c r="O210" s="6">
        <f>INDEX('[1]RTO Register'!R$2:R$698,MATCH($A210,'[1]RTO Register'!$AA$2:$AA$698,0))</f>
        <v>1</v>
      </c>
      <c r="P210" s="6">
        <f>INDEX('[1]RTO Register'!S$2:S$698,MATCH($A210,'[1]RTO Register'!$AA$2:$AA$698,0))</f>
        <v>1</v>
      </c>
      <c r="Q210" s="6">
        <f t="shared" si="7"/>
        <v>1</v>
      </c>
    </row>
    <row r="211" spans="1:17" x14ac:dyDescent="0.25">
      <c r="A211" t="str">
        <v>7061</v>
      </c>
      <c r="B211" t="str">
        <v>Caboolture State High School</v>
      </c>
      <c r="C211" t="str">
        <v>Caboolture State High School</v>
      </c>
      <c r="D211" t="str">
        <f>VLOOKUP(A211,'[1]RTO Register'!AA$2:AH708,8,FALSE)</f>
        <v>4510</v>
      </c>
      <c r="E211" s="8" t="s">
        <v>225</v>
      </c>
      <c r="F211" s="1" t="str">
        <f t="shared" si="6"/>
        <v/>
      </c>
      <c r="G211" s="1" t="str">
        <f>IFERROR(IF(INDEX('[1]RTO Register'!AP$2:AP$698,MATCH($A211,'[1]RTO Register'!$AA$2:$AA$698,0))="Yes","School",""),"")</f>
        <v>School</v>
      </c>
      <c r="H211" s="6">
        <f>INDEX('[1]RTO Register'!K$2:K$698,MATCH($A211,'[1]RTO Register'!$AA$2:$AA$698,0))</f>
        <v>1</v>
      </c>
      <c r="I211" s="6">
        <f>INDEX('[1]RTO Register'!L$2:L$698,MATCH($A211,'[1]RTO Register'!$AA$2:$AA$698,0))</f>
        <v>1</v>
      </c>
      <c r="J211" s="6">
        <f>INDEX('[1]RTO Register'!M$2:M$698,MATCH($A211,'[1]RTO Register'!$AA$2:$AA$698,0))</f>
        <v>1</v>
      </c>
      <c r="K211" s="6">
        <f>INDEX('[1]RTO Register'!N$2:N$698,MATCH($A211,'[1]RTO Register'!$AA$2:$AA$698,0))</f>
        <v>1</v>
      </c>
      <c r="L211" s="6">
        <f>INDEX('[1]RTO Register'!O$2:O$698,MATCH($A211,'[1]RTO Register'!$AA$2:$AA$698,0))</f>
        <v>1</v>
      </c>
      <c r="M211" s="6">
        <f>INDEX('[1]RTO Register'!P$2:P$698,MATCH($A211,'[1]RTO Register'!$AA$2:$AA$698,0))</f>
        <v>1</v>
      </c>
      <c r="N211" s="6">
        <f>INDEX('[1]RTO Register'!Q$2:Q$698,MATCH($A211,'[1]RTO Register'!$AA$2:$AA$698,0))</f>
        <v>1</v>
      </c>
      <c r="O211" s="6">
        <f>INDEX('[1]RTO Register'!R$2:R$698,MATCH($A211,'[1]RTO Register'!$AA$2:$AA$698,0))</f>
        <v>1</v>
      </c>
      <c r="P211" s="6">
        <f>INDEX('[1]RTO Register'!S$2:S$698,MATCH($A211,'[1]RTO Register'!$AA$2:$AA$698,0))</f>
        <v>1</v>
      </c>
      <c r="Q211" s="6">
        <f t="shared" si="7"/>
        <v>1</v>
      </c>
    </row>
    <row r="212" spans="1:17" x14ac:dyDescent="0.25">
      <c r="A212" t="str">
        <v>90659</v>
      </c>
      <c r="B212" t="str">
        <v>Achieve Training &amp; Assessment Services Pty Ltd</v>
      </c>
      <c r="C212" t="str">
        <v>N/A</v>
      </c>
      <c r="D212" t="str">
        <f>VLOOKUP(A212,'[1]RTO Register'!AA$2:AH709,8,FALSE)</f>
        <v>2526</v>
      </c>
      <c r="E212" s="8" t="s">
        <v>226</v>
      </c>
      <c r="F212" s="1" t="str">
        <f t="shared" si="6"/>
        <v/>
      </c>
      <c r="G212" s="1" t="str">
        <f>IFERROR(IF(INDEX('[1]RTO Register'!AP$2:AP$698,MATCH($A212,'[1]RTO Register'!$AA$2:$AA$698,0))="Yes","School",""),"")</f>
        <v/>
      </c>
      <c r="H212" s="6">
        <f>INDEX('[1]RTO Register'!K$2:K$698,MATCH($A212,'[1]RTO Register'!$AA$2:$AA$698,0))</f>
        <v>1</v>
      </c>
      <c r="I212" s="6">
        <f>INDEX('[1]RTO Register'!L$2:L$698,MATCH($A212,'[1]RTO Register'!$AA$2:$AA$698,0))</f>
        <v>1</v>
      </c>
      <c r="J212" s="6">
        <f>INDEX('[1]RTO Register'!M$2:M$698,MATCH($A212,'[1]RTO Register'!$AA$2:$AA$698,0))</f>
        <v>1</v>
      </c>
      <c r="K212" s="6">
        <f>INDEX('[1]RTO Register'!N$2:N$698,MATCH($A212,'[1]RTO Register'!$AA$2:$AA$698,0))</f>
        <v>1</v>
      </c>
      <c r="L212" s="6">
        <f>INDEX('[1]RTO Register'!O$2:O$698,MATCH($A212,'[1]RTO Register'!$AA$2:$AA$698,0))</f>
        <v>1</v>
      </c>
      <c r="M212" s="6">
        <f>INDEX('[1]RTO Register'!P$2:P$698,MATCH($A212,'[1]RTO Register'!$AA$2:$AA$698,0))</f>
        <v>1</v>
      </c>
      <c r="N212" s="6">
        <f>INDEX('[1]RTO Register'!Q$2:Q$698,MATCH($A212,'[1]RTO Register'!$AA$2:$AA$698,0))</f>
        <v>1</v>
      </c>
      <c r="O212" s="6">
        <f>INDEX('[1]RTO Register'!R$2:R$698,MATCH($A212,'[1]RTO Register'!$AA$2:$AA$698,0))</f>
        <v>1</v>
      </c>
      <c r="P212" s="6">
        <f>INDEX('[1]RTO Register'!S$2:S$698,MATCH($A212,'[1]RTO Register'!$AA$2:$AA$698,0))</f>
        <v>1</v>
      </c>
      <c r="Q212" s="6">
        <f t="shared" si="7"/>
        <v>1</v>
      </c>
    </row>
    <row r="213" spans="1:17" x14ac:dyDescent="0.25">
      <c r="A213" t="str">
        <v>90702</v>
      </c>
      <c r="B213" t="str">
        <v>Workplace Training Group Pty Ltd</v>
      </c>
      <c r="C213" t="str">
        <v>N/A</v>
      </c>
      <c r="D213" t="str">
        <f>VLOOKUP(A213,'[1]RTO Register'!AA$2:AH710,8,FALSE)</f>
        <v>2164</v>
      </c>
      <c r="E213" s="8" t="s">
        <v>227</v>
      </c>
      <c r="F213" s="1" t="str">
        <f t="shared" si="6"/>
        <v/>
      </c>
      <c r="G213" s="1" t="str">
        <f>IFERROR(IF(INDEX('[1]RTO Register'!AP$2:AP$698,MATCH($A213,'[1]RTO Register'!$AA$2:$AA$698,0))="Yes","School",""),"")</f>
        <v/>
      </c>
      <c r="H213" s="6">
        <f>INDEX('[1]RTO Register'!K$2:K$698,MATCH($A213,'[1]RTO Register'!$AA$2:$AA$698,0))</f>
        <v>1</v>
      </c>
      <c r="I213" s="6">
        <f>INDEX('[1]RTO Register'!L$2:L$698,MATCH($A213,'[1]RTO Register'!$AA$2:$AA$698,0))</f>
        <v>1</v>
      </c>
      <c r="J213" s="6">
        <f>INDEX('[1]RTO Register'!M$2:M$698,MATCH($A213,'[1]RTO Register'!$AA$2:$AA$698,0))</f>
        <v>1</v>
      </c>
      <c r="K213" s="6">
        <f>INDEX('[1]RTO Register'!N$2:N$698,MATCH($A213,'[1]RTO Register'!$AA$2:$AA$698,0))</f>
        <v>1</v>
      </c>
      <c r="L213" s="6">
        <f>INDEX('[1]RTO Register'!O$2:O$698,MATCH($A213,'[1]RTO Register'!$AA$2:$AA$698,0))</f>
        <v>1</v>
      </c>
      <c r="M213" s="6">
        <f>INDEX('[1]RTO Register'!P$2:P$698,MATCH($A213,'[1]RTO Register'!$AA$2:$AA$698,0))</f>
        <v>1</v>
      </c>
      <c r="N213" s="6">
        <f>INDEX('[1]RTO Register'!Q$2:Q$698,MATCH($A213,'[1]RTO Register'!$AA$2:$AA$698,0))</f>
        <v>1</v>
      </c>
      <c r="O213" s="6">
        <f>INDEX('[1]RTO Register'!R$2:R$698,MATCH($A213,'[1]RTO Register'!$AA$2:$AA$698,0))</f>
        <v>1</v>
      </c>
      <c r="P213" s="6">
        <f>INDEX('[1]RTO Register'!S$2:S$698,MATCH($A213,'[1]RTO Register'!$AA$2:$AA$698,0))</f>
        <v>1</v>
      </c>
      <c r="Q213" s="6">
        <f t="shared" si="7"/>
        <v>1</v>
      </c>
    </row>
    <row r="214" spans="1:17" x14ac:dyDescent="0.25">
      <c r="A214" t="str">
        <v>90909</v>
      </c>
      <c r="B214" t="str">
        <v>Allens Training Pty Ltd</v>
      </c>
      <c r="C214" t="str">
        <v>Allen's Training</v>
      </c>
      <c r="D214" t="str">
        <f>VLOOKUP(A214,'[1]RTO Register'!AA$2:AH711,8,FALSE)</f>
        <v>4567</v>
      </c>
      <c r="E214" s="8" t="s">
        <v>228</v>
      </c>
      <c r="F214" s="1" t="str">
        <f t="shared" si="6"/>
        <v/>
      </c>
      <c r="G214" s="1" t="str">
        <f>IFERROR(IF(INDEX('[1]RTO Register'!AP$2:AP$698,MATCH($A214,'[1]RTO Register'!$AA$2:$AA$698,0))="Yes","School",""),"")</f>
        <v/>
      </c>
      <c r="H214" s="6">
        <f>INDEX('[1]RTO Register'!K$2:K$698,MATCH($A214,'[1]RTO Register'!$AA$2:$AA$698,0))</f>
        <v>1</v>
      </c>
      <c r="I214" s="6">
        <f>INDEX('[1]RTO Register'!L$2:L$698,MATCH($A214,'[1]RTO Register'!$AA$2:$AA$698,0))</f>
        <v>1</v>
      </c>
      <c r="J214" s="6">
        <f>INDEX('[1]RTO Register'!M$2:M$698,MATCH($A214,'[1]RTO Register'!$AA$2:$AA$698,0))</f>
        <v>1</v>
      </c>
      <c r="K214" s="6">
        <f>INDEX('[1]RTO Register'!N$2:N$698,MATCH($A214,'[1]RTO Register'!$AA$2:$AA$698,0))</f>
        <v>1</v>
      </c>
      <c r="L214" s="6">
        <f>INDEX('[1]RTO Register'!O$2:O$698,MATCH($A214,'[1]RTO Register'!$AA$2:$AA$698,0))</f>
        <v>1</v>
      </c>
      <c r="M214" s="6">
        <f>INDEX('[1]RTO Register'!P$2:P$698,MATCH($A214,'[1]RTO Register'!$AA$2:$AA$698,0))</f>
        <v>1</v>
      </c>
      <c r="N214" s="6">
        <f>INDEX('[1]RTO Register'!Q$2:Q$698,MATCH($A214,'[1]RTO Register'!$AA$2:$AA$698,0))</f>
        <v>1</v>
      </c>
      <c r="O214" s="6">
        <f>INDEX('[1]RTO Register'!R$2:R$698,MATCH($A214,'[1]RTO Register'!$AA$2:$AA$698,0))</f>
        <v>1</v>
      </c>
      <c r="P214" s="6">
        <f>INDEX('[1]RTO Register'!S$2:S$698,MATCH($A214,'[1]RTO Register'!$AA$2:$AA$698,0))</f>
        <v>1</v>
      </c>
      <c r="Q214" s="6">
        <f t="shared" si="7"/>
        <v>1</v>
      </c>
    </row>
    <row r="215" spans="1:17" x14ac:dyDescent="0.25">
      <c r="A215" t="str">
        <v>91118</v>
      </c>
      <c r="B215" t="str">
        <v>TCP Training Pty Ltd</v>
      </c>
      <c r="C215" t="str">
        <v>Australian Training Solutions</v>
      </c>
      <c r="D215" t="str">
        <f>VLOOKUP(A215,'[1]RTO Register'!AA$2:AH712,8,FALSE)</f>
        <v>2000</v>
      </c>
      <c r="E215" s="8" t="s">
        <v>229</v>
      </c>
      <c r="F215" s="1" t="str">
        <f t="shared" si="6"/>
        <v/>
      </c>
      <c r="G215" s="1" t="str">
        <f>IFERROR(IF(INDEX('[1]RTO Register'!AP$2:AP$698,MATCH($A215,'[1]RTO Register'!$AA$2:$AA$698,0))="Yes","School",""),"")</f>
        <v/>
      </c>
      <c r="H215" s="6">
        <f>INDEX('[1]RTO Register'!K$2:K$698,MATCH($A215,'[1]RTO Register'!$AA$2:$AA$698,0))</f>
        <v>1</v>
      </c>
      <c r="I215" s="6">
        <f>INDEX('[1]RTO Register'!L$2:L$698,MATCH($A215,'[1]RTO Register'!$AA$2:$AA$698,0))</f>
        <v>1</v>
      </c>
      <c r="J215" s="6">
        <f>INDEX('[1]RTO Register'!M$2:M$698,MATCH($A215,'[1]RTO Register'!$AA$2:$AA$698,0))</f>
        <v>1</v>
      </c>
      <c r="K215" s="6">
        <f>INDEX('[1]RTO Register'!N$2:N$698,MATCH($A215,'[1]RTO Register'!$AA$2:$AA$698,0))</f>
        <v>1</v>
      </c>
      <c r="L215" s="6">
        <f>INDEX('[1]RTO Register'!O$2:O$698,MATCH($A215,'[1]RTO Register'!$AA$2:$AA$698,0))</f>
        <v>1</v>
      </c>
      <c r="M215" s="6">
        <f>INDEX('[1]RTO Register'!P$2:P$698,MATCH($A215,'[1]RTO Register'!$AA$2:$AA$698,0))</f>
        <v>1</v>
      </c>
      <c r="N215" s="6">
        <f>INDEX('[1]RTO Register'!Q$2:Q$698,MATCH($A215,'[1]RTO Register'!$AA$2:$AA$698,0))</f>
        <v>1</v>
      </c>
      <c r="O215" s="6">
        <f>INDEX('[1]RTO Register'!R$2:R$698,MATCH($A215,'[1]RTO Register'!$AA$2:$AA$698,0))</f>
        <v>1</v>
      </c>
      <c r="P215" s="6">
        <f>INDEX('[1]RTO Register'!S$2:S$698,MATCH($A215,'[1]RTO Register'!$AA$2:$AA$698,0))</f>
        <v>1</v>
      </c>
      <c r="Q215" s="6">
        <f t="shared" si="7"/>
        <v>1</v>
      </c>
    </row>
    <row r="216" spans="1:17" x14ac:dyDescent="0.25">
      <c r="A216" t="str">
        <v>91138</v>
      </c>
      <c r="B216" t="str">
        <v>City-Wide Building &amp; Training Services Pty Ltd</v>
      </c>
      <c r="C216" t="str">
        <v>CWBTS</v>
      </c>
      <c r="D216" t="str">
        <f>VLOOKUP(A216,'[1]RTO Register'!AA$2:AH713,8,FALSE)</f>
        <v>2485</v>
      </c>
      <c r="E216" s="8" t="s">
        <v>230</v>
      </c>
      <c r="F216" s="1" t="str">
        <f t="shared" si="6"/>
        <v/>
      </c>
      <c r="G216" s="1" t="str">
        <f>IFERROR(IF(INDEX('[1]RTO Register'!AP$2:AP$698,MATCH($A216,'[1]RTO Register'!$AA$2:$AA$698,0))="Yes","School",""),"")</f>
        <v/>
      </c>
      <c r="H216" s="6">
        <f>INDEX('[1]RTO Register'!K$2:K$698,MATCH($A216,'[1]RTO Register'!$AA$2:$AA$698,0))</f>
        <v>43977</v>
      </c>
      <c r="I216" s="6">
        <f>INDEX('[1]RTO Register'!L$2:L$698,MATCH($A216,'[1]RTO Register'!$AA$2:$AA$698,0))</f>
        <v>44083</v>
      </c>
      <c r="J216" s="6">
        <f>INDEX('[1]RTO Register'!M$2:M$698,MATCH($A216,'[1]RTO Register'!$AA$2:$AA$698,0))</f>
        <v>1</v>
      </c>
      <c r="K216" s="6">
        <f>INDEX('[1]RTO Register'!N$2:N$698,MATCH($A216,'[1]RTO Register'!$AA$2:$AA$698,0))</f>
        <v>1</v>
      </c>
      <c r="L216" s="6">
        <f>INDEX('[1]RTO Register'!O$2:O$698,MATCH($A216,'[1]RTO Register'!$AA$2:$AA$698,0))</f>
        <v>44091</v>
      </c>
      <c r="M216" s="6">
        <f>INDEX('[1]RTO Register'!P$2:P$698,MATCH($A216,'[1]RTO Register'!$AA$2:$AA$698,0))</f>
        <v>1</v>
      </c>
      <c r="N216" s="6">
        <f>INDEX('[1]RTO Register'!Q$2:Q$698,MATCH($A216,'[1]RTO Register'!$AA$2:$AA$698,0))</f>
        <v>1</v>
      </c>
      <c r="O216" s="6">
        <f>INDEX('[1]RTO Register'!R$2:R$698,MATCH($A216,'[1]RTO Register'!$AA$2:$AA$698,0))</f>
        <v>1</v>
      </c>
      <c r="P216" s="6">
        <f>INDEX('[1]RTO Register'!S$2:S$698,MATCH($A216,'[1]RTO Register'!$AA$2:$AA$698,0))</f>
        <v>1</v>
      </c>
      <c r="Q216" s="6">
        <f t="shared" si="7"/>
        <v>44091</v>
      </c>
    </row>
    <row r="217" spans="1:17" x14ac:dyDescent="0.25">
      <c r="A217" t="str">
        <v>91206</v>
      </c>
      <c r="B217" t="str">
        <v>IDH Bricklaying Pty Ltd</v>
      </c>
      <c r="C217" t="str">
        <v>GTK Construction Training</v>
      </c>
      <c r="D217" t="str">
        <f>VLOOKUP(A217,'[1]RTO Register'!AA$2:AH714,8,FALSE)</f>
        <v>2487</v>
      </c>
      <c r="E217" s="8" t="s">
        <v>231</v>
      </c>
      <c r="F217" s="1" t="str">
        <f t="shared" si="6"/>
        <v/>
      </c>
      <c r="G217" s="1" t="str">
        <f>IFERROR(IF(INDEX('[1]RTO Register'!AP$2:AP$698,MATCH($A217,'[1]RTO Register'!$AA$2:$AA$698,0))="Yes","School",""),"")</f>
        <v/>
      </c>
      <c r="H217" s="6">
        <f>INDEX('[1]RTO Register'!K$2:K$698,MATCH($A217,'[1]RTO Register'!$AA$2:$AA$698,0))</f>
        <v>1</v>
      </c>
      <c r="I217" s="6">
        <f>INDEX('[1]RTO Register'!L$2:L$698,MATCH($A217,'[1]RTO Register'!$AA$2:$AA$698,0))</f>
        <v>1</v>
      </c>
      <c r="J217" s="6">
        <f>INDEX('[1]RTO Register'!M$2:M$698,MATCH($A217,'[1]RTO Register'!$AA$2:$AA$698,0))</f>
        <v>1</v>
      </c>
      <c r="K217" s="6">
        <f>INDEX('[1]RTO Register'!N$2:N$698,MATCH($A217,'[1]RTO Register'!$AA$2:$AA$698,0))</f>
        <v>1</v>
      </c>
      <c r="L217" s="6">
        <f>INDEX('[1]RTO Register'!O$2:O$698,MATCH($A217,'[1]RTO Register'!$AA$2:$AA$698,0))</f>
        <v>1</v>
      </c>
      <c r="M217" s="6">
        <f>INDEX('[1]RTO Register'!P$2:P$698,MATCH($A217,'[1]RTO Register'!$AA$2:$AA$698,0))</f>
        <v>1</v>
      </c>
      <c r="N217" s="6">
        <f>INDEX('[1]RTO Register'!Q$2:Q$698,MATCH($A217,'[1]RTO Register'!$AA$2:$AA$698,0))</f>
        <v>1</v>
      </c>
      <c r="O217" s="6">
        <f>INDEX('[1]RTO Register'!R$2:R$698,MATCH($A217,'[1]RTO Register'!$AA$2:$AA$698,0))</f>
        <v>1</v>
      </c>
      <c r="P217" s="6">
        <f>INDEX('[1]RTO Register'!S$2:S$698,MATCH($A217,'[1]RTO Register'!$AA$2:$AA$698,0))</f>
        <v>1</v>
      </c>
      <c r="Q217" s="6">
        <f t="shared" si="7"/>
        <v>1</v>
      </c>
    </row>
    <row r="218" spans="1:17" x14ac:dyDescent="0.25">
      <c r="A218" t="str">
        <v>91330</v>
      </c>
      <c r="B218" t="str">
        <v>Admire Workplace Safety Pty Ltd</v>
      </c>
      <c r="C218" t="str">
        <v>Admire Workplace Safety Pty Ltd</v>
      </c>
      <c r="D218" t="str">
        <f>VLOOKUP(A218,'[1]RTO Register'!AA$2:AH715,8,FALSE)</f>
        <v>2577</v>
      </c>
      <c r="E218" s="8" t="s">
        <v>232</v>
      </c>
      <c r="F218" s="1" t="str">
        <f t="shared" si="6"/>
        <v/>
      </c>
      <c r="G218" s="1" t="str">
        <f>IFERROR(IF(INDEX('[1]RTO Register'!AP$2:AP$698,MATCH($A218,'[1]RTO Register'!$AA$2:$AA$698,0))="Yes","School",""),"")</f>
        <v/>
      </c>
      <c r="H218" s="6">
        <f>INDEX('[1]RTO Register'!K$2:K$698,MATCH($A218,'[1]RTO Register'!$AA$2:$AA$698,0))</f>
        <v>1</v>
      </c>
      <c r="I218" s="6">
        <f>INDEX('[1]RTO Register'!L$2:L$698,MATCH($A218,'[1]RTO Register'!$AA$2:$AA$698,0))</f>
        <v>1</v>
      </c>
      <c r="J218" s="6">
        <f>INDEX('[1]RTO Register'!M$2:M$698,MATCH($A218,'[1]RTO Register'!$AA$2:$AA$698,0))</f>
        <v>1</v>
      </c>
      <c r="K218" s="6">
        <f>INDEX('[1]RTO Register'!N$2:N$698,MATCH($A218,'[1]RTO Register'!$AA$2:$AA$698,0))</f>
        <v>1</v>
      </c>
      <c r="L218" s="6">
        <f>INDEX('[1]RTO Register'!O$2:O$698,MATCH($A218,'[1]RTO Register'!$AA$2:$AA$698,0))</f>
        <v>45223</v>
      </c>
      <c r="M218" s="6">
        <f>INDEX('[1]RTO Register'!P$2:P$698,MATCH($A218,'[1]RTO Register'!$AA$2:$AA$698,0))</f>
        <v>1</v>
      </c>
      <c r="N218" s="6">
        <f>INDEX('[1]RTO Register'!Q$2:Q$698,MATCH($A218,'[1]RTO Register'!$AA$2:$AA$698,0))</f>
        <v>1</v>
      </c>
      <c r="O218" s="6">
        <f>INDEX('[1]RTO Register'!R$2:R$698,MATCH($A218,'[1]RTO Register'!$AA$2:$AA$698,0))</f>
        <v>1</v>
      </c>
      <c r="P218" s="6">
        <f>INDEX('[1]RTO Register'!S$2:S$698,MATCH($A218,'[1]RTO Register'!$AA$2:$AA$698,0))</f>
        <v>1</v>
      </c>
      <c r="Q218" s="6">
        <f t="shared" si="7"/>
        <v>45223</v>
      </c>
    </row>
    <row r="219" spans="1:17" x14ac:dyDescent="0.25">
      <c r="A219" t="str">
        <v>91401</v>
      </c>
      <c r="B219" t="str">
        <v>Edway Training Pty Ltd</v>
      </c>
      <c r="C219" t="str">
        <v>000 Edway Training</v>
      </c>
      <c r="D219" t="str">
        <f>VLOOKUP(A219,'[1]RTO Register'!AA$2:AH716,8,FALSE)</f>
        <v>3004</v>
      </c>
      <c r="E219" s="8" t="s">
        <v>233</v>
      </c>
      <c r="F219" s="1" t="str">
        <f t="shared" si="6"/>
        <v/>
      </c>
      <c r="G219" s="1" t="str">
        <f>IFERROR(IF(INDEX('[1]RTO Register'!AP$2:AP$698,MATCH($A219,'[1]RTO Register'!$AA$2:$AA$698,0))="Yes","School",""),"")</f>
        <v/>
      </c>
      <c r="H219" s="6">
        <f>INDEX('[1]RTO Register'!K$2:K$698,MATCH($A219,'[1]RTO Register'!$AA$2:$AA$698,0))</f>
        <v>1</v>
      </c>
      <c r="I219" s="6">
        <f>INDEX('[1]RTO Register'!L$2:L$698,MATCH($A219,'[1]RTO Register'!$AA$2:$AA$698,0))</f>
        <v>1</v>
      </c>
      <c r="J219" s="6">
        <f>INDEX('[1]RTO Register'!M$2:M$698,MATCH($A219,'[1]RTO Register'!$AA$2:$AA$698,0))</f>
        <v>1</v>
      </c>
      <c r="K219" s="6">
        <f>INDEX('[1]RTO Register'!N$2:N$698,MATCH($A219,'[1]RTO Register'!$AA$2:$AA$698,0))</f>
        <v>1</v>
      </c>
      <c r="L219" s="6">
        <f>INDEX('[1]RTO Register'!O$2:O$698,MATCH($A219,'[1]RTO Register'!$AA$2:$AA$698,0))</f>
        <v>45251</v>
      </c>
      <c r="M219" s="6">
        <f>INDEX('[1]RTO Register'!P$2:P$698,MATCH($A219,'[1]RTO Register'!$AA$2:$AA$698,0))</f>
        <v>1</v>
      </c>
      <c r="N219" s="6">
        <f>INDEX('[1]RTO Register'!Q$2:Q$698,MATCH($A219,'[1]RTO Register'!$AA$2:$AA$698,0))</f>
        <v>1</v>
      </c>
      <c r="O219" s="6">
        <f>INDEX('[1]RTO Register'!R$2:R$698,MATCH($A219,'[1]RTO Register'!$AA$2:$AA$698,0))</f>
        <v>1</v>
      </c>
      <c r="P219" s="6">
        <f>INDEX('[1]RTO Register'!S$2:S$698,MATCH($A219,'[1]RTO Register'!$AA$2:$AA$698,0))</f>
        <v>1</v>
      </c>
      <c r="Q219" s="6">
        <f t="shared" si="7"/>
        <v>45251</v>
      </c>
    </row>
    <row r="220" spans="1:17" x14ac:dyDescent="0.25">
      <c r="A220" t="str">
        <v>91413</v>
      </c>
      <c r="B220" t="str">
        <v>Just Careers Training Pty Limited</v>
      </c>
      <c r="C220" t="str">
        <v>Licences 4 work</v>
      </c>
      <c r="D220" t="str">
        <f>VLOOKUP(A220,'[1]RTO Register'!AA$2:AH717,8,FALSE)</f>
        <v>2200</v>
      </c>
      <c r="E220" s="8" t="s">
        <v>234</v>
      </c>
      <c r="F220" s="1" t="str">
        <f t="shared" si="6"/>
        <v/>
      </c>
      <c r="G220" s="1" t="str">
        <f>IFERROR(IF(INDEX('[1]RTO Register'!AP$2:AP$698,MATCH($A220,'[1]RTO Register'!$AA$2:$AA$698,0))="Yes","School",""),"")</f>
        <v/>
      </c>
      <c r="H220" s="6">
        <f>INDEX('[1]RTO Register'!K$2:K$698,MATCH($A220,'[1]RTO Register'!$AA$2:$AA$698,0))</f>
        <v>1</v>
      </c>
      <c r="I220" s="6">
        <f>INDEX('[1]RTO Register'!L$2:L$698,MATCH($A220,'[1]RTO Register'!$AA$2:$AA$698,0))</f>
        <v>1</v>
      </c>
      <c r="J220" s="6">
        <f>INDEX('[1]RTO Register'!M$2:M$698,MATCH($A220,'[1]RTO Register'!$AA$2:$AA$698,0))</f>
        <v>1</v>
      </c>
      <c r="K220" s="6">
        <f>INDEX('[1]RTO Register'!N$2:N$698,MATCH($A220,'[1]RTO Register'!$AA$2:$AA$698,0))</f>
        <v>1</v>
      </c>
      <c r="L220" s="6">
        <f>INDEX('[1]RTO Register'!O$2:O$698,MATCH($A220,'[1]RTO Register'!$AA$2:$AA$698,0))</f>
        <v>1</v>
      </c>
      <c r="M220" s="6">
        <f>INDEX('[1]RTO Register'!P$2:P$698,MATCH($A220,'[1]RTO Register'!$AA$2:$AA$698,0))</f>
        <v>1</v>
      </c>
      <c r="N220" s="6">
        <f>INDEX('[1]RTO Register'!Q$2:Q$698,MATCH($A220,'[1]RTO Register'!$AA$2:$AA$698,0))</f>
        <v>1</v>
      </c>
      <c r="O220" s="6">
        <f>INDEX('[1]RTO Register'!R$2:R$698,MATCH($A220,'[1]RTO Register'!$AA$2:$AA$698,0))</f>
        <v>1</v>
      </c>
      <c r="P220" s="6">
        <f>INDEX('[1]RTO Register'!S$2:S$698,MATCH($A220,'[1]RTO Register'!$AA$2:$AA$698,0))</f>
        <v>1</v>
      </c>
      <c r="Q220" s="6">
        <f t="shared" si="7"/>
        <v>1</v>
      </c>
    </row>
    <row r="221" spans="1:17" x14ac:dyDescent="0.25">
      <c r="A221" t="str">
        <v>91521</v>
      </c>
      <c r="B221" t="str">
        <v>Absolute Education Pty Ltd</v>
      </c>
      <c r="C221" t="str">
        <v>001 AAA Absolute Education</v>
      </c>
      <c r="D221" t="str">
        <f>VLOOKUP(A221,'[1]RTO Register'!AA$2:AH718,8,FALSE)</f>
        <v>2099</v>
      </c>
      <c r="E221" s="8" t="s">
        <v>235</v>
      </c>
      <c r="F221" s="1" t="str">
        <f t="shared" si="6"/>
        <v/>
      </c>
      <c r="G221" s="1" t="str">
        <f>IFERROR(IF(INDEX('[1]RTO Register'!AP$2:AP$698,MATCH($A221,'[1]RTO Register'!$AA$2:$AA$698,0))="Yes","School",""),"")</f>
        <v/>
      </c>
      <c r="H221" s="6">
        <f>INDEX('[1]RTO Register'!K$2:K$698,MATCH($A221,'[1]RTO Register'!$AA$2:$AA$698,0))</f>
        <v>1</v>
      </c>
      <c r="I221" s="6">
        <f>INDEX('[1]RTO Register'!L$2:L$698,MATCH($A221,'[1]RTO Register'!$AA$2:$AA$698,0))</f>
        <v>1</v>
      </c>
      <c r="J221" s="6">
        <f>INDEX('[1]RTO Register'!M$2:M$698,MATCH($A221,'[1]RTO Register'!$AA$2:$AA$698,0))</f>
        <v>1</v>
      </c>
      <c r="K221" s="6">
        <f>INDEX('[1]RTO Register'!N$2:N$698,MATCH($A221,'[1]RTO Register'!$AA$2:$AA$698,0))</f>
        <v>1</v>
      </c>
      <c r="L221" s="6">
        <f>INDEX('[1]RTO Register'!O$2:O$698,MATCH($A221,'[1]RTO Register'!$AA$2:$AA$698,0))</f>
        <v>1</v>
      </c>
      <c r="M221" s="6">
        <f>INDEX('[1]RTO Register'!P$2:P$698,MATCH($A221,'[1]RTO Register'!$AA$2:$AA$698,0))</f>
        <v>1</v>
      </c>
      <c r="N221" s="6">
        <f>INDEX('[1]RTO Register'!Q$2:Q$698,MATCH($A221,'[1]RTO Register'!$AA$2:$AA$698,0))</f>
        <v>1</v>
      </c>
      <c r="O221" s="6">
        <f>INDEX('[1]RTO Register'!R$2:R$698,MATCH($A221,'[1]RTO Register'!$AA$2:$AA$698,0))</f>
        <v>1</v>
      </c>
      <c r="P221" s="6">
        <f>INDEX('[1]RTO Register'!S$2:S$698,MATCH($A221,'[1]RTO Register'!$AA$2:$AA$698,0))</f>
        <v>1</v>
      </c>
      <c r="Q221" s="6">
        <f t="shared" si="7"/>
        <v>1</v>
      </c>
    </row>
    <row r="222" spans="1:17" x14ac:dyDescent="0.25">
      <c r="A222" t="str">
        <v>91528</v>
      </c>
      <c r="B222" t="str">
        <v>South Pacific Training Group Pty Ltd</v>
      </c>
      <c r="C222" t="str">
        <v>Australian Owner Builder Centre</v>
      </c>
      <c r="D222" t="str">
        <f>VLOOKUP(A222,'[1]RTO Register'!AA$2:AH719,8,FALSE)</f>
        <v>2000</v>
      </c>
      <c r="E222" s="8" t="s">
        <v>236</v>
      </c>
      <c r="F222" s="1" t="str">
        <f t="shared" si="6"/>
        <v/>
      </c>
      <c r="G222" s="1" t="str">
        <f>IFERROR(IF(INDEX('[1]RTO Register'!AP$2:AP$698,MATCH($A222,'[1]RTO Register'!$AA$2:$AA$698,0))="Yes","School",""),"")</f>
        <v/>
      </c>
      <c r="H222" s="6">
        <f>INDEX('[1]RTO Register'!K$2:K$698,MATCH($A222,'[1]RTO Register'!$AA$2:$AA$698,0))</f>
        <v>1</v>
      </c>
      <c r="I222" s="6">
        <f>INDEX('[1]RTO Register'!L$2:L$698,MATCH($A222,'[1]RTO Register'!$AA$2:$AA$698,0))</f>
        <v>1</v>
      </c>
      <c r="J222" s="6">
        <f>INDEX('[1]RTO Register'!M$2:M$698,MATCH($A222,'[1]RTO Register'!$AA$2:$AA$698,0))</f>
        <v>1</v>
      </c>
      <c r="K222" s="6">
        <f>INDEX('[1]RTO Register'!N$2:N$698,MATCH($A222,'[1]RTO Register'!$AA$2:$AA$698,0))</f>
        <v>1</v>
      </c>
      <c r="L222" s="6">
        <f>INDEX('[1]RTO Register'!O$2:O$698,MATCH($A222,'[1]RTO Register'!$AA$2:$AA$698,0))</f>
        <v>1</v>
      </c>
      <c r="M222" s="6">
        <f>INDEX('[1]RTO Register'!P$2:P$698,MATCH($A222,'[1]RTO Register'!$AA$2:$AA$698,0))</f>
        <v>1</v>
      </c>
      <c r="N222" s="6">
        <f>INDEX('[1]RTO Register'!Q$2:Q$698,MATCH($A222,'[1]RTO Register'!$AA$2:$AA$698,0))</f>
        <v>1</v>
      </c>
      <c r="O222" s="6">
        <f>INDEX('[1]RTO Register'!R$2:R$698,MATCH($A222,'[1]RTO Register'!$AA$2:$AA$698,0))</f>
        <v>1</v>
      </c>
      <c r="P222" s="6">
        <f>INDEX('[1]RTO Register'!S$2:S$698,MATCH($A222,'[1]RTO Register'!$AA$2:$AA$698,0))</f>
        <v>1</v>
      </c>
      <c r="Q222" s="6">
        <f t="shared" si="7"/>
        <v>1</v>
      </c>
    </row>
    <row r="223" spans="1:17" x14ac:dyDescent="0.25">
      <c r="A223" t="str">
        <v>91533</v>
      </c>
      <c r="B223" t="str">
        <v>HCR Constructions Pty Ltd</v>
      </c>
      <c r="C223" t="str">
        <v>Step Into Training Services</v>
      </c>
      <c r="D223" t="str">
        <f>VLOOKUP(A223,'[1]RTO Register'!AA$2:AH720,8,FALSE)</f>
        <v>4114</v>
      </c>
      <c r="E223" s="8" t="s">
        <v>237</v>
      </c>
      <c r="F223" s="1" t="str">
        <f t="shared" si="6"/>
        <v/>
      </c>
      <c r="G223" s="1" t="str">
        <f>IFERROR(IF(INDEX('[1]RTO Register'!AP$2:AP$698,MATCH($A223,'[1]RTO Register'!$AA$2:$AA$698,0))="Yes","School",""),"")</f>
        <v/>
      </c>
      <c r="H223" s="6">
        <f>INDEX('[1]RTO Register'!K$2:K$698,MATCH($A223,'[1]RTO Register'!$AA$2:$AA$698,0))</f>
        <v>1</v>
      </c>
      <c r="I223" s="6">
        <f>INDEX('[1]RTO Register'!L$2:L$698,MATCH($A223,'[1]RTO Register'!$AA$2:$AA$698,0))</f>
        <v>1</v>
      </c>
      <c r="J223" s="6">
        <f>INDEX('[1]RTO Register'!M$2:M$698,MATCH($A223,'[1]RTO Register'!$AA$2:$AA$698,0))</f>
        <v>1</v>
      </c>
      <c r="K223" s="6">
        <f>INDEX('[1]RTO Register'!N$2:N$698,MATCH($A223,'[1]RTO Register'!$AA$2:$AA$698,0))</f>
        <v>1</v>
      </c>
      <c r="L223" s="6">
        <f>INDEX('[1]RTO Register'!O$2:O$698,MATCH($A223,'[1]RTO Register'!$AA$2:$AA$698,0))</f>
        <v>1</v>
      </c>
      <c r="M223" s="6">
        <f>INDEX('[1]RTO Register'!P$2:P$698,MATCH($A223,'[1]RTO Register'!$AA$2:$AA$698,0))</f>
        <v>1</v>
      </c>
      <c r="N223" s="6">
        <f>INDEX('[1]RTO Register'!Q$2:Q$698,MATCH($A223,'[1]RTO Register'!$AA$2:$AA$698,0))</f>
        <v>1</v>
      </c>
      <c r="O223" s="6">
        <f>INDEX('[1]RTO Register'!R$2:R$698,MATCH($A223,'[1]RTO Register'!$AA$2:$AA$698,0))</f>
        <v>1</v>
      </c>
      <c r="P223" s="6">
        <f>INDEX('[1]RTO Register'!S$2:S$698,MATCH($A223,'[1]RTO Register'!$AA$2:$AA$698,0))</f>
        <v>1</v>
      </c>
      <c r="Q223" s="6">
        <f t="shared" si="7"/>
        <v>1</v>
      </c>
    </row>
    <row r="224" spans="1:17" x14ac:dyDescent="0.25">
      <c r="A224" t="str">
        <v>91534</v>
      </c>
      <c r="B224" t="str">
        <v>Advance Consulting &amp; Training Pty Ltd</v>
      </c>
      <c r="C224" t="str">
        <v>Advance OH&amp;S Consulting &amp; Training</v>
      </c>
      <c r="D224" t="str">
        <f>VLOOKUP(A224,'[1]RTO Register'!AA$2:AH721,8,FALSE)</f>
        <v>2213</v>
      </c>
      <c r="E224" s="8" t="s">
        <v>238</v>
      </c>
      <c r="F224" s="1" t="str">
        <f t="shared" si="6"/>
        <v/>
      </c>
      <c r="G224" s="1" t="str">
        <f>IFERROR(IF(INDEX('[1]RTO Register'!AP$2:AP$698,MATCH($A224,'[1]RTO Register'!$AA$2:$AA$698,0))="Yes","School",""),"")</f>
        <v/>
      </c>
      <c r="H224" s="6">
        <f>INDEX('[1]RTO Register'!K$2:K$698,MATCH($A224,'[1]RTO Register'!$AA$2:$AA$698,0))</f>
        <v>44491</v>
      </c>
      <c r="I224" s="6">
        <f>INDEX('[1]RTO Register'!L$2:L$698,MATCH($A224,'[1]RTO Register'!$AA$2:$AA$698,0))</f>
        <v>1</v>
      </c>
      <c r="J224" s="6">
        <f>INDEX('[1]RTO Register'!M$2:M$698,MATCH($A224,'[1]RTO Register'!$AA$2:$AA$698,0))</f>
        <v>1</v>
      </c>
      <c r="K224" s="6">
        <f>INDEX('[1]RTO Register'!N$2:N$698,MATCH($A224,'[1]RTO Register'!$AA$2:$AA$698,0))</f>
        <v>1</v>
      </c>
      <c r="L224" s="6">
        <f>INDEX('[1]RTO Register'!O$2:O$698,MATCH($A224,'[1]RTO Register'!$AA$2:$AA$698,0))</f>
        <v>44964</v>
      </c>
      <c r="M224" s="6">
        <f>INDEX('[1]RTO Register'!P$2:P$698,MATCH($A224,'[1]RTO Register'!$AA$2:$AA$698,0))</f>
        <v>1</v>
      </c>
      <c r="N224" s="6">
        <f>INDEX('[1]RTO Register'!Q$2:Q$698,MATCH($A224,'[1]RTO Register'!$AA$2:$AA$698,0))</f>
        <v>1</v>
      </c>
      <c r="O224" s="6">
        <f>INDEX('[1]RTO Register'!R$2:R$698,MATCH($A224,'[1]RTO Register'!$AA$2:$AA$698,0))</f>
        <v>1</v>
      </c>
      <c r="P224" s="6">
        <f>INDEX('[1]RTO Register'!S$2:S$698,MATCH($A224,'[1]RTO Register'!$AA$2:$AA$698,0))</f>
        <v>1</v>
      </c>
      <c r="Q224" s="6">
        <f t="shared" si="7"/>
        <v>44964</v>
      </c>
    </row>
    <row r="225" spans="1:17" x14ac:dyDescent="0.25">
      <c r="A225" t="str">
        <v>91577</v>
      </c>
      <c r="B225" t="str">
        <v>Coastal OHS Services Pty Ltd</v>
      </c>
      <c r="C225" t="str">
        <v>Coastal OHS Services</v>
      </c>
      <c r="D225" t="str">
        <f>VLOOKUP(A225,'[1]RTO Register'!AA$2:AH722,8,FALSE)</f>
        <v>2251</v>
      </c>
      <c r="E225" s="8" t="s">
        <v>239</v>
      </c>
      <c r="F225" s="1" t="str">
        <f t="shared" si="6"/>
        <v/>
      </c>
      <c r="G225" s="1" t="str">
        <f>IFERROR(IF(INDEX('[1]RTO Register'!AP$2:AP$698,MATCH($A225,'[1]RTO Register'!$AA$2:$AA$698,0))="Yes","School",""),"")</f>
        <v/>
      </c>
      <c r="H225" s="6">
        <f>INDEX('[1]RTO Register'!K$2:K$698,MATCH($A225,'[1]RTO Register'!$AA$2:$AA$698,0))</f>
        <v>1</v>
      </c>
      <c r="I225" s="6">
        <f>INDEX('[1]RTO Register'!L$2:L$698,MATCH($A225,'[1]RTO Register'!$AA$2:$AA$698,0))</f>
        <v>1</v>
      </c>
      <c r="J225" s="6">
        <f>INDEX('[1]RTO Register'!M$2:M$698,MATCH($A225,'[1]RTO Register'!$AA$2:$AA$698,0))</f>
        <v>1</v>
      </c>
      <c r="K225" s="6">
        <f>INDEX('[1]RTO Register'!N$2:N$698,MATCH($A225,'[1]RTO Register'!$AA$2:$AA$698,0))</f>
        <v>1</v>
      </c>
      <c r="L225" s="6">
        <f>INDEX('[1]RTO Register'!O$2:O$698,MATCH($A225,'[1]RTO Register'!$AA$2:$AA$698,0))</f>
        <v>1</v>
      </c>
      <c r="M225" s="6">
        <f>INDEX('[1]RTO Register'!P$2:P$698,MATCH($A225,'[1]RTO Register'!$AA$2:$AA$698,0))</f>
        <v>1</v>
      </c>
      <c r="N225" s="6">
        <f>INDEX('[1]RTO Register'!Q$2:Q$698,MATCH($A225,'[1]RTO Register'!$AA$2:$AA$698,0))</f>
        <v>1</v>
      </c>
      <c r="O225" s="6">
        <f>INDEX('[1]RTO Register'!R$2:R$698,MATCH($A225,'[1]RTO Register'!$AA$2:$AA$698,0))</f>
        <v>1</v>
      </c>
      <c r="P225" s="6">
        <f>INDEX('[1]RTO Register'!S$2:S$698,MATCH($A225,'[1]RTO Register'!$AA$2:$AA$698,0))</f>
        <v>1</v>
      </c>
      <c r="Q225" s="6">
        <f t="shared" si="7"/>
        <v>1</v>
      </c>
    </row>
    <row r="226" spans="1:17" x14ac:dyDescent="0.25">
      <c r="A226" t="str">
        <v>91694</v>
      </c>
      <c r="B226" t="str">
        <v>Safety Corp Pty Ltd</v>
      </c>
      <c r="C226" t="str">
        <v>Care Skills Group</v>
      </c>
      <c r="D226" t="str">
        <f>VLOOKUP(A226,'[1]RTO Register'!AA$2:AH723,8,FALSE)</f>
        <v>2060</v>
      </c>
      <c r="E226" s="8" t="s">
        <v>240</v>
      </c>
      <c r="F226" s="1" t="str">
        <f t="shared" si="6"/>
        <v/>
      </c>
      <c r="G226" s="1" t="str">
        <f>IFERROR(IF(INDEX('[1]RTO Register'!AP$2:AP$698,MATCH($A226,'[1]RTO Register'!$AA$2:$AA$698,0))="Yes","School",""),"")</f>
        <v/>
      </c>
      <c r="H226" s="6">
        <f>INDEX('[1]RTO Register'!K$2:K$698,MATCH($A226,'[1]RTO Register'!$AA$2:$AA$698,0))</f>
        <v>1</v>
      </c>
      <c r="I226" s="6">
        <f>INDEX('[1]RTO Register'!L$2:L$698,MATCH($A226,'[1]RTO Register'!$AA$2:$AA$698,0))</f>
        <v>1</v>
      </c>
      <c r="J226" s="6">
        <f>INDEX('[1]RTO Register'!M$2:M$698,MATCH($A226,'[1]RTO Register'!$AA$2:$AA$698,0))</f>
        <v>1</v>
      </c>
      <c r="K226" s="6">
        <f>INDEX('[1]RTO Register'!N$2:N$698,MATCH($A226,'[1]RTO Register'!$AA$2:$AA$698,0))</f>
        <v>1</v>
      </c>
      <c r="L226" s="6">
        <f>INDEX('[1]RTO Register'!O$2:O$698,MATCH($A226,'[1]RTO Register'!$AA$2:$AA$698,0))</f>
        <v>1</v>
      </c>
      <c r="M226" s="6">
        <f>INDEX('[1]RTO Register'!P$2:P$698,MATCH($A226,'[1]RTO Register'!$AA$2:$AA$698,0))</f>
        <v>1</v>
      </c>
      <c r="N226" s="6">
        <f>INDEX('[1]RTO Register'!Q$2:Q$698,MATCH($A226,'[1]RTO Register'!$AA$2:$AA$698,0))</f>
        <v>1</v>
      </c>
      <c r="O226" s="6">
        <f>INDEX('[1]RTO Register'!R$2:R$698,MATCH($A226,'[1]RTO Register'!$AA$2:$AA$698,0))</f>
        <v>1</v>
      </c>
      <c r="P226" s="6">
        <f>INDEX('[1]RTO Register'!S$2:S$698,MATCH($A226,'[1]RTO Register'!$AA$2:$AA$698,0))</f>
        <v>1</v>
      </c>
      <c r="Q226" s="6">
        <f t="shared" si="7"/>
        <v>1</v>
      </c>
    </row>
    <row r="227" spans="1:17" x14ac:dyDescent="0.25">
      <c r="A227" t="str">
        <v>91816</v>
      </c>
      <c r="B227" t="str">
        <v>Insurance Specialist Group Pty Ltd</v>
      </c>
      <c r="C227" t="str">
        <v>N/A</v>
      </c>
      <c r="D227" t="str">
        <f>VLOOKUP(A227,'[1]RTO Register'!AA$2:AH724,8,FALSE)</f>
        <v>2150</v>
      </c>
      <c r="E227" s="8" t="s">
        <v>241</v>
      </c>
      <c r="F227" s="1" t="str">
        <f t="shared" si="6"/>
        <v/>
      </c>
      <c r="G227" s="1" t="str">
        <f>IFERROR(IF(INDEX('[1]RTO Register'!AP$2:AP$698,MATCH($A227,'[1]RTO Register'!$AA$2:$AA$698,0))="Yes","School",""),"")</f>
        <v/>
      </c>
      <c r="H227" s="6">
        <f>INDEX('[1]RTO Register'!K$2:K$698,MATCH($A227,'[1]RTO Register'!$AA$2:$AA$698,0))</f>
        <v>1</v>
      </c>
      <c r="I227" s="6">
        <f>INDEX('[1]RTO Register'!L$2:L$698,MATCH($A227,'[1]RTO Register'!$AA$2:$AA$698,0))</f>
        <v>1</v>
      </c>
      <c r="J227" s="6">
        <f>INDEX('[1]RTO Register'!M$2:M$698,MATCH($A227,'[1]RTO Register'!$AA$2:$AA$698,0))</f>
        <v>1</v>
      </c>
      <c r="K227" s="6">
        <f>INDEX('[1]RTO Register'!N$2:N$698,MATCH($A227,'[1]RTO Register'!$AA$2:$AA$698,0))</f>
        <v>1</v>
      </c>
      <c r="L227" s="6">
        <f>INDEX('[1]RTO Register'!O$2:O$698,MATCH($A227,'[1]RTO Register'!$AA$2:$AA$698,0))</f>
        <v>1</v>
      </c>
      <c r="M227" s="6">
        <f>INDEX('[1]RTO Register'!P$2:P$698,MATCH($A227,'[1]RTO Register'!$AA$2:$AA$698,0))</f>
        <v>1</v>
      </c>
      <c r="N227" s="6">
        <f>INDEX('[1]RTO Register'!Q$2:Q$698,MATCH($A227,'[1]RTO Register'!$AA$2:$AA$698,0))</f>
        <v>1</v>
      </c>
      <c r="O227" s="6">
        <f>INDEX('[1]RTO Register'!R$2:R$698,MATCH($A227,'[1]RTO Register'!$AA$2:$AA$698,0))</f>
        <v>1</v>
      </c>
      <c r="P227" s="6">
        <f>INDEX('[1]RTO Register'!S$2:S$698,MATCH($A227,'[1]RTO Register'!$AA$2:$AA$698,0))</f>
        <v>1</v>
      </c>
      <c r="Q227" s="6">
        <f t="shared" si="7"/>
        <v>1</v>
      </c>
    </row>
    <row r="228" spans="1:17" x14ac:dyDescent="0.25">
      <c r="A228" t="str">
        <v>91826</v>
      </c>
      <c r="B228" t="str">
        <v>AlertForce Pty Ltd</v>
      </c>
      <c r="C228" t="str">
        <v>AlertForce</v>
      </c>
      <c r="D228" t="str">
        <f>VLOOKUP(A228,'[1]RTO Register'!AA$2:AH725,8,FALSE)</f>
        <v>2011</v>
      </c>
      <c r="E228" s="8" t="s">
        <v>242</v>
      </c>
      <c r="F228" s="1" t="str">
        <f t="shared" si="6"/>
        <v/>
      </c>
      <c r="G228" s="1" t="str">
        <f>IFERROR(IF(INDEX('[1]RTO Register'!AP$2:AP$698,MATCH($A228,'[1]RTO Register'!$AA$2:$AA$698,0))="Yes","School",""),"")</f>
        <v/>
      </c>
      <c r="H228" s="6">
        <f>INDEX('[1]RTO Register'!K$2:K$698,MATCH($A228,'[1]RTO Register'!$AA$2:$AA$698,0))</f>
        <v>1</v>
      </c>
      <c r="I228" s="6">
        <f>INDEX('[1]RTO Register'!L$2:L$698,MATCH($A228,'[1]RTO Register'!$AA$2:$AA$698,0))</f>
        <v>1</v>
      </c>
      <c r="J228" s="6">
        <f>INDEX('[1]RTO Register'!M$2:M$698,MATCH($A228,'[1]RTO Register'!$AA$2:$AA$698,0))</f>
        <v>1</v>
      </c>
      <c r="K228" s="6">
        <f>INDEX('[1]RTO Register'!N$2:N$698,MATCH($A228,'[1]RTO Register'!$AA$2:$AA$698,0))</f>
        <v>1</v>
      </c>
      <c r="L228" s="6">
        <f>INDEX('[1]RTO Register'!O$2:O$698,MATCH($A228,'[1]RTO Register'!$AA$2:$AA$698,0))</f>
        <v>1</v>
      </c>
      <c r="M228" s="6">
        <f>INDEX('[1]RTO Register'!P$2:P$698,MATCH($A228,'[1]RTO Register'!$AA$2:$AA$698,0))</f>
        <v>1</v>
      </c>
      <c r="N228" s="6">
        <f>INDEX('[1]RTO Register'!Q$2:Q$698,MATCH($A228,'[1]RTO Register'!$AA$2:$AA$698,0))</f>
        <v>1</v>
      </c>
      <c r="O228" s="6">
        <f>INDEX('[1]RTO Register'!R$2:R$698,MATCH($A228,'[1]RTO Register'!$AA$2:$AA$698,0))</f>
        <v>1</v>
      </c>
      <c r="P228" s="6">
        <f>INDEX('[1]RTO Register'!S$2:S$698,MATCH($A228,'[1]RTO Register'!$AA$2:$AA$698,0))</f>
        <v>1</v>
      </c>
      <c r="Q228" s="6">
        <f t="shared" si="7"/>
        <v>1</v>
      </c>
    </row>
    <row r="229" spans="1:17" x14ac:dyDescent="0.25">
      <c r="F229" s="1" t="str">
        <f t="shared" si="6"/>
        <v/>
      </c>
      <c r="G229" s="1" t="str">
        <f>IFERROR(IF(INDEX('[1]RTO Register'!AP$2:AP$698,MATCH($A229,'[1]RTO Register'!$AA$2:$AA$698,0))="Yes","School",""),"")</f>
        <v/>
      </c>
      <c r="H229" s="6" t="e">
        <f>INDEX('[1]RTO Register'!K$2:K$698,MATCH($A229,'[1]RTO Register'!$AA$2:$AA$698,0))</f>
        <v>#N/A</v>
      </c>
      <c r="I229" s="6" t="e">
        <f>INDEX('[1]RTO Register'!L$2:L$698,MATCH($A229,'[1]RTO Register'!$AA$2:$AA$698,0))</f>
        <v>#N/A</v>
      </c>
      <c r="J229" s="6" t="e">
        <f>INDEX('[1]RTO Register'!M$2:M$698,MATCH($A229,'[1]RTO Register'!$AA$2:$AA$698,0))</f>
        <v>#N/A</v>
      </c>
      <c r="K229" s="6" t="e">
        <f>INDEX('[1]RTO Register'!N$2:N$698,MATCH($A229,'[1]RTO Register'!$AA$2:$AA$698,0))</f>
        <v>#N/A</v>
      </c>
      <c r="L229" s="6" t="e">
        <f>INDEX('[1]RTO Register'!O$2:O$698,MATCH($A229,'[1]RTO Register'!$AA$2:$AA$698,0))</f>
        <v>#N/A</v>
      </c>
      <c r="M229" s="6" t="e">
        <f>INDEX('[1]RTO Register'!P$2:P$698,MATCH($A229,'[1]RTO Register'!$AA$2:$AA$698,0))</f>
        <v>#N/A</v>
      </c>
      <c r="N229" s="6" t="e">
        <f>INDEX('[1]RTO Register'!Q$2:Q$698,MATCH($A229,'[1]RTO Register'!$AA$2:$AA$698,0))</f>
        <v>#N/A</v>
      </c>
      <c r="O229" s="6" t="e">
        <f>INDEX('[1]RTO Register'!R$2:R$698,MATCH($A229,'[1]RTO Register'!$AA$2:$AA$698,0))</f>
        <v>#N/A</v>
      </c>
      <c r="P229" s="6" t="e">
        <f>INDEX('[1]RTO Register'!S$2:S$698,MATCH($A229,'[1]RTO Register'!$AA$2:$AA$698,0))</f>
        <v>#N/A</v>
      </c>
      <c r="Q229" s="6" t="e">
        <f t="shared" si="7"/>
        <v>#N/A</v>
      </c>
    </row>
    <row r="230" spans="1:17" x14ac:dyDescent="0.25">
      <c r="F230" s="1" t="str">
        <f t="shared" si="6"/>
        <v/>
      </c>
      <c r="G230" s="1" t="str">
        <f>IFERROR(IF(INDEX('[1]RTO Register'!AP$2:AP$698,MATCH($A230,'[1]RTO Register'!$AA$2:$AA$698,0))="Yes","School",""),"")</f>
        <v/>
      </c>
      <c r="H230" s="6" t="e">
        <f>INDEX('[1]RTO Register'!K$2:K$698,MATCH($A230,'[1]RTO Register'!$AA$2:$AA$698,0))</f>
        <v>#N/A</v>
      </c>
      <c r="I230" s="6" t="e">
        <f>INDEX('[1]RTO Register'!L$2:L$698,MATCH($A230,'[1]RTO Register'!$AA$2:$AA$698,0))</f>
        <v>#N/A</v>
      </c>
      <c r="J230" s="6" t="e">
        <f>INDEX('[1]RTO Register'!M$2:M$698,MATCH($A230,'[1]RTO Register'!$AA$2:$AA$698,0))</f>
        <v>#N/A</v>
      </c>
      <c r="K230" s="6" t="e">
        <f>INDEX('[1]RTO Register'!N$2:N$698,MATCH($A230,'[1]RTO Register'!$AA$2:$AA$698,0))</f>
        <v>#N/A</v>
      </c>
      <c r="L230" s="6" t="e">
        <f>INDEX('[1]RTO Register'!O$2:O$698,MATCH($A230,'[1]RTO Register'!$AA$2:$AA$698,0))</f>
        <v>#N/A</v>
      </c>
      <c r="M230" s="6" t="e">
        <f>INDEX('[1]RTO Register'!P$2:P$698,MATCH($A230,'[1]RTO Register'!$AA$2:$AA$698,0))</f>
        <v>#N/A</v>
      </c>
      <c r="N230" s="6" t="e">
        <f>INDEX('[1]RTO Register'!Q$2:Q$698,MATCH($A230,'[1]RTO Register'!$AA$2:$AA$698,0))</f>
        <v>#N/A</v>
      </c>
      <c r="O230" s="6" t="e">
        <f>INDEX('[1]RTO Register'!R$2:R$698,MATCH($A230,'[1]RTO Register'!$AA$2:$AA$698,0))</f>
        <v>#N/A</v>
      </c>
      <c r="P230" s="6" t="e">
        <f>INDEX('[1]RTO Register'!S$2:S$698,MATCH($A230,'[1]RTO Register'!$AA$2:$AA$698,0))</f>
        <v>#N/A</v>
      </c>
      <c r="Q230" s="6" t="e">
        <f t="shared" si="7"/>
        <v>#N/A</v>
      </c>
    </row>
    <row r="231" spans="1:17" x14ac:dyDescent="0.25">
      <c r="F231" s="1" t="str">
        <f t="shared" si="6"/>
        <v/>
      </c>
      <c r="G231" s="1" t="str">
        <f>IFERROR(IF(INDEX('[1]RTO Register'!AP$2:AP$698,MATCH($A231,'[1]RTO Register'!$AA$2:$AA$698,0))="Yes","School",""),"")</f>
        <v/>
      </c>
      <c r="H231" s="6" t="e">
        <f>INDEX('[1]RTO Register'!K$2:K$698,MATCH($A231,'[1]RTO Register'!$AA$2:$AA$698,0))</f>
        <v>#N/A</v>
      </c>
      <c r="I231" s="6" t="e">
        <f>INDEX('[1]RTO Register'!L$2:L$698,MATCH($A231,'[1]RTO Register'!$AA$2:$AA$698,0))</f>
        <v>#N/A</v>
      </c>
      <c r="J231" s="6" t="e">
        <f>INDEX('[1]RTO Register'!M$2:M$698,MATCH($A231,'[1]RTO Register'!$AA$2:$AA$698,0))</f>
        <v>#N/A</v>
      </c>
      <c r="K231" s="6" t="e">
        <f>INDEX('[1]RTO Register'!N$2:N$698,MATCH($A231,'[1]RTO Register'!$AA$2:$AA$698,0))</f>
        <v>#N/A</v>
      </c>
      <c r="L231" s="6" t="e">
        <f>INDEX('[1]RTO Register'!O$2:O$698,MATCH($A231,'[1]RTO Register'!$AA$2:$AA$698,0))</f>
        <v>#N/A</v>
      </c>
      <c r="M231" s="6" t="e">
        <f>INDEX('[1]RTO Register'!P$2:P$698,MATCH($A231,'[1]RTO Register'!$AA$2:$AA$698,0))</f>
        <v>#N/A</v>
      </c>
      <c r="N231" s="6" t="e">
        <f>INDEX('[1]RTO Register'!Q$2:Q$698,MATCH($A231,'[1]RTO Register'!$AA$2:$AA$698,0))</f>
        <v>#N/A</v>
      </c>
      <c r="O231" s="6" t="e">
        <f>INDEX('[1]RTO Register'!R$2:R$698,MATCH($A231,'[1]RTO Register'!$AA$2:$AA$698,0))</f>
        <v>#N/A</v>
      </c>
      <c r="P231" s="6" t="e">
        <f>INDEX('[1]RTO Register'!S$2:S$698,MATCH($A231,'[1]RTO Register'!$AA$2:$AA$698,0))</f>
        <v>#N/A</v>
      </c>
      <c r="Q231" s="6" t="e">
        <f t="shared" si="7"/>
        <v>#N/A</v>
      </c>
    </row>
    <row r="232" spans="1:17" x14ac:dyDescent="0.25">
      <c r="F232" s="1" t="str">
        <f t="shared" si="6"/>
        <v/>
      </c>
      <c r="G232" s="1" t="str">
        <f>IFERROR(IF(INDEX('[1]RTO Register'!AP$2:AP$698,MATCH($A232,'[1]RTO Register'!$AA$2:$AA$698,0))="Yes","School",""),"")</f>
        <v/>
      </c>
      <c r="H232" s="6" t="e">
        <f>INDEX('[1]RTO Register'!K$2:K$698,MATCH($A232,'[1]RTO Register'!$AA$2:$AA$698,0))</f>
        <v>#N/A</v>
      </c>
      <c r="I232" s="6" t="e">
        <f>INDEX('[1]RTO Register'!L$2:L$698,MATCH($A232,'[1]RTO Register'!$AA$2:$AA$698,0))</f>
        <v>#N/A</v>
      </c>
      <c r="J232" s="6" t="e">
        <f>INDEX('[1]RTO Register'!M$2:M$698,MATCH($A232,'[1]RTO Register'!$AA$2:$AA$698,0))</f>
        <v>#N/A</v>
      </c>
      <c r="K232" s="6" t="e">
        <f>INDEX('[1]RTO Register'!N$2:N$698,MATCH($A232,'[1]RTO Register'!$AA$2:$AA$698,0))</f>
        <v>#N/A</v>
      </c>
      <c r="L232" s="6" t="e">
        <f>INDEX('[1]RTO Register'!O$2:O$698,MATCH($A232,'[1]RTO Register'!$AA$2:$AA$698,0))</f>
        <v>#N/A</v>
      </c>
      <c r="M232" s="6" t="e">
        <f>INDEX('[1]RTO Register'!P$2:P$698,MATCH($A232,'[1]RTO Register'!$AA$2:$AA$698,0))</f>
        <v>#N/A</v>
      </c>
      <c r="N232" s="6" t="e">
        <f>INDEX('[1]RTO Register'!Q$2:Q$698,MATCH($A232,'[1]RTO Register'!$AA$2:$AA$698,0))</f>
        <v>#N/A</v>
      </c>
      <c r="O232" s="6" t="e">
        <f>INDEX('[1]RTO Register'!R$2:R$698,MATCH($A232,'[1]RTO Register'!$AA$2:$AA$698,0))</f>
        <v>#N/A</v>
      </c>
      <c r="P232" s="6" t="e">
        <f>INDEX('[1]RTO Register'!S$2:S$698,MATCH($A232,'[1]RTO Register'!$AA$2:$AA$698,0))</f>
        <v>#N/A</v>
      </c>
      <c r="Q232" s="6" t="e">
        <f t="shared" si="7"/>
        <v>#N/A</v>
      </c>
    </row>
    <row r="233" spans="1:17" x14ac:dyDescent="0.25">
      <c r="F233" s="1" t="str">
        <f t="shared" si="6"/>
        <v/>
      </c>
      <c r="G233" s="1" t="str">
        <f>IFERROR(IF(INDEX('[1]RTO Register'!AP$2:AP$698,MATCH($A233,'[1]RTO Register'!$AA$2:$AA$698,0))="Yes","School",""),"")</f>
        <v/>
      </c>
      <c r="H233" s="6" t="e">
        <f>INDEX('[1]RTO Register'!K$2:K$698,MATCH($A233,'[1]RTO Register'!$AA$2:$AA$698,0))</f>
        <v>#N/A</v>
      </c>
      <c r="I233" s="6" t="e">
        <f>INDEX('[1]RTO Register'!L$2:L$698,MATCH($A233,'[1]RTO Register'!$AA$2:$AA$698,0))</f>
        <v>#N/A</v>
      </c>
      <c r="J233" s="6" t="e">
        <f>INDEX('[1]RTO Register'!M$2:M$698,MATCH($A233,'[1]RTO Register'!$AA$2:$AA$698,0))</f>
        <v>#N/A</v>
      </c>
      <c r="K233" s="6" t="e">
        <f>INDEX('[1]RTO Register'!N$2:N$698,MATCH($A233,'[1]RTO Register'!$AA$2:$AA$698,0))</f>
        <v>#N/A</v>
      </c>
      <c r="L233" s="6" t="e">
        <f>INDEX('[1]RTO Register'!O$2:O$698,MATCH($A233,'[1]RTO Register'!$AA$2:$AA$698,0))</f>
        <v>#N/A</v>
      </c>
      <c r="M233" s="6" t="e">
        <f>INDEX('[1]RTO Register'!P$2:P$698,MATCH($A233,'[1]RTO Register'!$AA$2:$AA$698,0))</f>
        <v>#N/A</v>
      </c>
      <c r="N233" s="6" t="e">
        <f>INDEX('[1]RTO Register'!Q$2:Q$698,MATCH($A233,'[1]RTO Register'!$AA$2:$AA$698,0))</f>
        <v>#N/A</v>
      </c>
      <c r="O233" s="6" t="e">
        <f>INDEX('[1]RTO Register'!R$2:R$698,MATCH($A233,'[1]RTO Register'!$AA$2:$AA$698,0))</f>
        <v>#N/A</v>
      </c>
      <c r="P233" s="6" t="e">
        <f>INDEX('[1]RTO Register'!S$2:S$698,MATCH($A233,'[1]RTO Register'!$AA$2:$AA$698,0))</f>
        <v>#N/A</v>
      </c>
      <c r="Q233" s="6" t="e">
        <f t="shared" si="7"/>
        <v>#N/A</v>
      </c>
    </row>
    <row r="234" spans="1:17" x14ac:dyDescent="0.25">
      <c r="F234" s="1" t="str">
        <f t="shared" si="6"/>
        <v/>
      </c>
      <c r="G234" s="1" t="str">
        <f>IFERROR(IF(INDEX('[1]RTO Register'!AP$2:AP$698,MATCH($A234,'[1]RTO Register'!$AA$2:$AA$698,0))="Yes","School",""),"")</f>
        <v/>
      </c>
      <c r="H234" s="6" t="e">
        <f>INDEX('[1]RTO Register'!K$2:K$698,MATCH($A234,'[1]RTO Register'!$AA$2:$AA$698,0))</f>
        <v>#N/A</v>
      </c>
      <c r="I234" s="6" t="e">
        <f>INDEX('[1]RTO Register'!L$2:L$698,MATCH($A234,'[1]RTO Register'!$AA$2:$AA$698,0))</f>
        <v>#N/A</v>
      </c>
      <c r="J234" s="6" t="e">
        <f>INDEX('[1]RTO Register'!M$2:M$698,MATCH($A234,'[1]RTO Register'!$AA$2:$AA$698,0))</f>
        <v>#N/A</v>
      </c>
      <c r="K234" s="6" t="e">
        <f>INDEX('[1]RTO Register'!N$2:N$698,MATCH($A234,'[1]RTO Register'!$AA$2:$AA$698,0))</f>
        <v>#N/A</v>
      </c>
      <c r="L234" s="6" t="e">
        <f>INDEX('[1]RTO Register'!O$2:O$698,MATCH($A234,'[1]RTO Register'!$AA$2:$AA$698,0))</f>
        <v>#N/A</v>
      </c>
      <c r="M234" s="6" t="e">
        <f>INDEX('[1]RTO Register'!P$2:P$698,MATCH($A234,'[1]RTO Register'!$AA$2:$AA$698,0))</f>
        <v>#N/A</v>
      </c>
      <c r="N234" s="6" t="e">
        <f>INDEX('[1]RTO Register'!Q$2:Q$698,MATCH($A234,'[1]RTO Register'!$AA$2:$AA$698,0))</f>
        <v>#N/A</v>
      </c>
      <c r="O234" s="6" t="e">
        <f>INDEX('[1]RTO Register'!R$2:R$698,MATCH($A234,'[1]RTO Register'!$AA$2:$AA$698,0))</f>
        <v>#N/A</v>
      </c>
      <c r="P234" s="6" t="e">
        <f>INDEX('[1]RTO Register'!S$2:S$698,MATCH($A234,'[1]RTO Register'!$AA$2:$AA$698,0))</f>
        <v>#N/A</v>
      </c>
      <c r="Q234" s="6" t="e">
        <f t="shared" si="7"/>
        <v>#N/A</v>
      </c>
    </row>
    <row r="235" spans="1:17" x14ac:dyDescent="0.25">
      <c r="F235" s="1" t="str">
        <f t="shared" si="6"/>
        <v/>
      </c>
      <c r="G235" s="1" t="str">
        <f>IFERROR(IF(INDEX('[1]RTO Register'!AP$2:AP$698,MATCH($A235,'[1]RTO Register'!$AA$2:$AA$698,0))="Yes","School",""),"")</f>
        <v/>
      </c>
      <c r="H235" s="6" t="e">
        <f>INDEX('[1]RTO Register'!K$2:K$698,MATCH($A235,'[1]RTO Register'!$AA$2:$AA$698,0))</f>
        <v>#N/A</v>
      </c>
      <c r="I235" s="6" t="e">
        <f>INDEX('[1]RTO Register'!L$2:L$698,MATCH($A235,'[1]RTO Register'!$AA$2:$AA$698,0))</f>
        <v>#N/A</v>
      </c>
      <c r="J235" s="6" t="e">
        <f>INDEX('[1]RTO Register'!M$2:M$698,MATCH($A235,'[1]RTO Register'!$AA$2:$AA$698,0))</f>
        <v>#N/A</v>
      </c>
      <c r="K235" s="6" t="e">
        <f>INDEX('[1]RTO Register'!N$2:N$698,MATCH($A235,'[1]RTO Register'!$AA$2:$AA$698,0))</f>
        <v>#N/A</v>
      </c>
      <c r="L235" s="6" t="e">
        <f>INDEX('[1]RTO Register'!O$2:O$698,MATCH($A235,'[1]RTO Register'!$AA$2:$AA$698,0))</f>
        <v>#N/A</v>
      </c>
      <c r="M235" s="6" t="e">
        <f>INDEX('[1]RTO Register'!P$2:P$698,MATCH($A235,'[1]RTO Register'!$AA$2:$AA$698,0))</f>
        <v>#N/A</v>
      </c>
      <c r="N235" s="6" t="e">
        <f>INDEX('[1]RTO Register'!Q$2:Q$698,MATCH($A235,'[1]RTO Register'!$AA$2:$AA$698,0))</f>
        <v>#N/A</v>
      </c>
      <c r="O235" s="6" t="e">
        <f>INDEX('[1]RTO Register'!R$2:R$698,MATCH($A235,'[1]RTO Register'!$AA$2:$AA$698,0))</f>
        <v>#N/A</v>
      </c>
      <c r="P235" s="6" t="e">
        <f>INDEX('[1]RTO Register'!S$2:S$698,MATCH($A235,'[1]RTO Register'!$AA$2:$AA$698,0))</f>
        <v>#N/A</v>
      </c>
      <c r="Q235" s="6" t="e">
        <f t="shared" si="7"/>
        <v>#N/A</v>
      </c>
    </row>
    <row r="236" spans="1:17" x14ac:dyDescent="0.25">
      <c r="F236" s="1" t="str">
        <f t="shared" si="6"/>
        <v/>
      </c>
      <c r="G236" s="1" t="str">
        <f>IFERROR(IF(INDEX('[1]RTO Register'!AP$2:AP$698,MATCH($A236,'[1]RTO Register'!$AA$2:$AA$698,0))="Yes","School",""),"")</f>
        <v/>
      </c>
      <c r="H236" s="6" t="e">
        <f>INDEX('[1]RTO Register'!K$2:K$698,MATCH($A236,'[1]RTO Register'!$AA$2:$AA$698,0))</f>
        <v>#N/A</v>
      </c>
      <c r="I236" s="6" t="e">
        <f>INDEX('[1]RTO Register'!L$2:L$698,MATCH($A236,'[1]RTO Register'!$AA$2:$AA$698,0))</f>
        <v>#N/A</v>
      </c>
      <c r="J236" s="6" t="e">
        <f>INDEX('[1]RTO Register'!M$2:M$698,MATCH($A236,'[1]RTO Register'!$AA$2:$AA$698,0))</f>
        <v>#N/A</v>
      </c>
      <c r="K236" s="6" t="e">
        <f>INDEX('[1]RTO Register'!N$2:N$698,MATCH($A236,'[1]RTO Register'!$AA$2:$AA$698,0))</f>
        <v>#N/A</v>
      </c>
      <c r="L236" s="6" t="e">
        <f>INDEX('[1]RTO Register'!O$2:O$698,MATCH($A236,'[1]RTO Register'!$AA$2:$AA$698,0))</f>
        <v>#N/A</v>
      </c>
      <c r="M236" s="6" t="e">
        <f>INDEX('[1]RTO Register'!P$2:P$698,MATCH($A236,'[1]RTO Register'!$AA$2:$AA$698,0))</f>
        <v>#N/A</v>
      </c>
      <c r="N236" s="6" t="e">
        <f>INDEX('[1]RTO Register'!Q$2:Q$698,MATCH($A236,'[1]RTO Register'!$AA$2:$AA$698,0))</f>
        <v>#N/A</v>
      </c>
      <c r="O236" s="6" t="e">
        <f>INDEX('[1]RTO Register'!R$2:R$698,MATCH($A236,'[1]RTO Register'!$AA$2:$AA$698,0))</f>
        <v>#N/A</v>
      </c>
      <c r="P236" s="6" t="e">
        <f>INDEX('[1]RTO Register'!S$2:S$698,MATCH($A236,'[1]RTO Register'!$AA$2:$AA$698,0))</f>
        <v>#N/A</v>
      </c>
      <c r="Q236" s="6" t="e">
        <f t="shared" si="7"/>
        <v>#N/A</v>
      </c>
    </row>
    <row r="237" spans="1:17" x14ac:dyDescent="0.25">
      <c r="F237" s="1" t="str">
        <f t="shared" si="6"/>
        <v/>
      </c>
      <c r="G237" s="1" t="str">
        <f>IFERROR(IF(INDEX('[1]RTO Register'!AP$2:AP$698,MATCH($A237,'[1]RTO Register'!$AA$2:$AA$698,0))="Yes","School",""),"")</f>
        <v/>
      </c>
      <c r="H237" s="6" t="e">
        <f>INDEX('[1]RTO Register'!K$2:K$698,MATCH($A237,'[1]RTO Register'!$AA$2:$AA$698,0))</f>
        <v>#N/A</v>
      </c>
      <c r="I237" s="6" t="e">
        <f>INDEX('[1]RTO Register'!L$2:L$698,MATCH($A237,'[1]RTO Register'!$AA$2:$AA$698,0))</f>
        <v>#N/A</v>
      </c>
      <c r="J237" s="6" t="e">
        <f>INDEX('[1]RTO Register'!M$2:M$698,MATCH($A237,'[1]RTO Register'!$AA$2:$AA$698,0))</f>
        <v>#N/A</v>
      </c>
      <c r="K237" s="6" t="e">
        <f>INDEX('[1]RTO Register'!N$2:N$698,MATCH($A237,'[1]RTO Register'!$AA$2:$AA$698,0))</f>
        <v>#N/A</v>
      </c>
      <c r="L237" s="6" t="e">
        <f>INDEX('[1]RTO Register'!O$2:O$698,MATCH($A237,'[1]RTO Register'!$AA$2:$AA$698,0))</f>
        <v>#N/A</v>
      </c>
      <c r="M237" s="6" t="e">
        <f>INDEX('[1]RTO Register'!P$2:P$698,MATCH($A237,'[1]RTO Register'!$AA$2:$AA$698,0))</f>
        <v>#N/A</v>
      </c>
      <c r="N237" s="6" t="e">
        <f>INDEX('[1]RTO Register'!Q$2:Q$698,MATCH($A237,'[1]RTO Register'!$AA$2:$AA$698,0))</f>
        <v>#N/A</v>
      </c>
      <c r="O237" s="6" t="e">
        <f>INDEX('[1]RTO Register'!R$2:R$698,MATCH($A237,'[1]RTO Register'!$AA$2:$AA$698,0))</f>
        <v>#N/A</v>
      </c>
      <c r="P237" s="6" t="e">
        <f>INDEX('[1]RTO Register'!S$2:S$698,MATCH($A237,'[1]RTO Register'!$AA$2:$AA$698,0))</f>
        <v>#N/A</v>
      </c>
      <c r="Q237" s="6" t="e">
        <f t="shared" si="7"/>
        <v>#N/A</v>
      </c>
    </row>
    <row r="238" spans="1:17" x14ac:dyDescent="0.25">
      <c r="F238" s="1" t="str">
        <f t="shared" si="6"/>
        <v/>
      </c>
      <c r="G238" s="1" t="str">
        <f>IFERROR(IF(INDEX('[1]RTO Register'!AP$2:AP$698,MATCH($A238,'[1]RTO Register'!$AA$2:$AA$698,0))="Yes","School",""),"")</f>
        <v/>
      </c>
      <c r="H238" s="6" t="e">
        <f>INDEX('[1]RTO Register'!K$2:K$698,MATCH($A238,'[1]RTO Register'!$AA$2:$AA$698,0))</f>
        <v>#N/A</v>
      </c>
      <c r="I238" s="6" t="e">
        <f>INDEX('[1]RTO Register'!L$2:L$698,MATCH($A238,'[1]RTO Register'!$AA$2:$AA$698,0))</f>
        <v>#N/A</v>
      </c>
      <c r="J238" s="6" t="e">
        <f>INDEX('[1]RTO Register'!M$2:M$698,MATCH($A238,'[1]RTO Register'!$AA$2:$AA$698,0))</f>
        <v>#N/A</v>
      </c>
      <c r="K238" s="6" t="e">
        <f>INDEX('[1]RTO Register'!N$2:N$698,MATCH($A238,'[1]RTO Register'!$AA$2:$AA$698,0))</f>
        <v>#N/A</v>
      </c>
      <c r="L238" s="6" t="e">
        <f>INDEX('[1]RTO Register'!O$2:O$698,MATCH($A238,'[1]RTO Register'!$AA$2:$AA$698,0))</f>
        <v>#N/A</v>
      </c>
      <c r="M238" s="6" t="e">
        <f>INDEX('[1]RTO Register'!P$2:P$698,MATCH($A238,'[1]RTO Register'!$AA$2:$AA$698,0))</f>
        <v>#N/A</v>
      </c>
      <c r="N238" s="6" t="e">
        <f>INDEX('[1]RTO Register'!Q$2:Q$698,MATCH($A238,'[1]RTO Register'!$AA$2:$AA$698,0))</f>
        <v>#N/A</v>
      </c>
      <c r="O238" s="6" t="e">
        <f>INDEX('[1]RTO Register'!R$2:R$698,MATCH($A238,'[1]RTO Register'!$AA$2:$AA$698,0))</f>
        <v>#N/A</v>
      </c>
      <c r="P238" s="6" t="e">
        <f>INDEX('[1]RTO Register'!S$2:S$698,MATCH($A238,'[1]RTO Register'!$AA$2:$AA$698,0))</f>
        <v>#N/A</v>
      </c>
      <c r="Q238" s="6" t="e">
        <f t="shared" si="7"/>
        <v>#N/A</v>
      </c>
    </row>
    <row r="239" spans="1:17" x14ac:dyDescent="0.25">
      <c r="F239" s="1" t="str">
        <f t="shared" si="6"/>
        <v/>
      </c>
      <c r="G239" s="1" t="str">
        <f>IFERROR(IF(INDEX('[1]RTO Register'!AP$2:AP$698,MATCH($A239,'[1]RTO Register'!$AA$2:$AA$698,0))="Yes","School",""),"")</f>
        <v/>
      </c>
      <c r="H239" s="6" t="e">
        <f>INDEX('[1]RTO Register'!K$2:K$698,MATCH($A239,'[1]RTO Register'!$AA$2:$AA$698,0))</f>
        <v>#N/A</v>
      </c>
      <c r="I239" s="6" t="e">
        <f>INDEX('[1]RTO Register'!L$2:L$698,MATCH($A239,'[1]RTO Register'!$AA$2:$AA$698,0))</f>
        <v>#N/A</v>
      </c>
      <c r="J239" s="6" t="e">
        <f>INDEX('[1]RTO Register'!M$2:M$698,MATCH($A239,'[1]RTO Register'!$AA$2:$AA$698,0))</f>
        <v>#N/A</v>
      </c>
      <c r="K239" s="6" t="e">
        <f>INDEX('[1]RTO Register'!N$2:N$698,MATCH($A239,'[1]RTO Register'!$AA$2:$AA$698,0))</f>
        <v>#N/A</v>
      </c>
      <c r="L239" s="6" t="e">
        <f>INDEX('[1]RTO Register'!O$2:O$698,MATCH($A239,'[1]RTO Register'!$AA$2:$AA$698,0))</f>
        <v>#N/A</v>
      </c>
      <c r="M239" s="6" t="e">
        <f>INDEX('[1]RTO Register'!P$2:P$698,MATCH($A239,'[1]RTO Register'!$AA$2:$AA$698,0))</f>
        <v>#N/A</v>
      </c>
      <c r="N239" s="6" t="e">
        <f>INDEX('[1]RTO Register'!Q$2:Q$698,MATCH($A239,'[1]RTO Register'!$AA$2:$AA$698,0))</f>
        <v>#N/A</v>
      </c>
      <c r="O239" s="6" t="e">
        <f>INDEX('[1]RTO Register'!R$2:R$698,MATCH($A239,'[1]RTO Register'!$AA$2:$AA$698,0))</f>
        <v>#N/A</v>
      </c>
      <c r="P239" s="6" t="e">
        <f>INDEX('[1]RTO Register'!S$2:S$698,MATCH($A239,'[1]RTO Register'!$AA$2:$AA$698,0))</f>
        <v>#N/A</v>
      </c>
      <c r="Q239" s="6" t="e">
        <f t="shared" si="7"/>
        <v>#N/A</v>
      </c>
    </row>
    <row r="240" spans="1:17" x14ac:dyDescent="0.25">
      <c r="F240" s="1" t="str">
        <f t="shared" si="6"/>
        <v/>
      </c>
      <c r="G240" s="1" t="str">
        <f>IFERROR(IF(INDEX('[1]RTO Register'!AP$2:AP$698,MATCH($A240,'[1]RTO Register'!$AA$2:$AA$698,0))="Yes","School",""),"")</f>
        <v/>
      </c>
      <c r="H240" s="6" t="e">
        <f>INDEX('[1]RTO Register'!K$2:K$698,MATCH($A240,'[1]RTO Register'!$AA$2:$AA$698,0))</f>
        <v>#N/A</v>
      </c>
      <c r="I240" s="6" t="e">
        <f>INDEX('[1]RTO Register'!L$2:L$698,MATCH($A240,'[1]RTO Register'!$AA$2:$AA$698,0))</f>
        <v>#N/A</v>
      </c>
      <c r="J240" s="6" t="e">
        <f>INDEX('[1]RTO Register'!M$2:M$698,MATCH($A240,'[1]RTO Register'!$AA$2:$AA$698,0))</f>
        <v>#N/A</v>
      </c>
      <c r="K240" s="6" t="e">
        <f>INDEX('[1]RTO Register'!N$2:N$698,MATCH($A240,'[1]RTO Register'!$AA$2:$AA$698,0))</f>
        <v>#N/A</v>
      </c>
      <c r="L240" s="6" t="e">
        <f>INDEX('[1]RTO Register'!O$2:O$698,MATCH($A240,'[1]RTO Register'!$AA$2:$AA$698,0))</f>
        <v>#N/A</v>
      </c>
      <c r="M240" s="6" t="e">
        <f>INDEX('[1]RTO Register'!P$2:P$698,MATCH($A240,'[1]RTO Register'!$AA$2:$AA$698,0))</f>
        <v>#N/A</v>
      </c>
      <c r="N240" s="6" t="e">
        <f>INDEX('[1]RTO Register'!Q$2:Q$698,MATCH($A240,'[1]RTO Register'!$AA$2:$AA$698,0))</f>
        <v>#N/A</v>
      </c>
      <c r="O240" s="6" t="e">
        <f>INDEX('[1]RTO Register'!R$2:R$698,MATCH($A240,'[1]RTO Register'!$AA$2:$AA$698,0))</f>
        <v>#N/A</v>
      </c>
      <c r="P240" s="6" t="e">
        <f>INDEX('[1]RTO Register'!S$2:S$698,MATCH($A240,'[1]RTO Register'!$AA$2:$AA$698,0))</f>
        <v>#N/A</v>
      </c>
      <c r="Q240" s="6" t="e">
        <f t="shared" si="7"/>
        <v>#N/A</v>
      </c>
    </row>
    <row r="241" spans="6:17" x14ac:dyDescent="0.25">
      <c r="F241" s="1" t="str">
        <f t="shared" si="6"/>
        <v/>
      </c>
      <c r="G241" s="1" t="str">
        <f>IFERROR(IF(INDEX('[1]RTO Register'!AP$2:AP$698,MATCH($A241,'[1]RTO Register'!$AA$2:$AA$698,0))="Yes","School",""),"")</f>
        <v/>
      </c>
      <c r="H241" s="6" t="e">
        <f>INDEX('[1]RTO Register'!K$2:K$698,MATCH($A241,'[1]RTO Register'!$AA$2:$AA$698,0))</f>
        <v>#N/A</v>
      </c>
      <c r="I241" s="6" t="e">
        <f>INDEX('[1]RTO Register'!L$2:L$698,MATCH($A241,'[1]RTO Register'!$AA$2:$AA$698,0))</f>
        <v>#N/A</v>
      </c>
      <c r="J241" s="6" t="e">
        <f>INDEX('[1]RTO Register'!M$2:M$698,MATCH($A241,'[1]RTO Register'!$AA$2:$AA$698,0))</f>
        <v>#N/A</v>
      </c>
      <c r="K241" s="6" t="e">
        <f>INDEX('[1]RTO Register'!N$2:N$698,MATCH($A241,'[1]RTO Register'!$AA$2:$AA$698,0))</f>
        <v>#N/A</v>
      </c>
      <c r="L241" s="6" t="e">
        <f>INDEX('[1]RTO Register'!O$2:O$698,MATCH($A241,'[1]RTO Register'!$AA$2:$AA$698,0))</f>
        <v>#N/A</v>
      </c>
      <c r="M241" s="6" t="e">
        <f>INDEX('[1]RTO Register'!P$2:P$698,MATCH($A241,'[1]RTO Register'!$AA$2:$AA$698,0))</f>
        <v>#N/A</v>
      </c>
      <c r="N241" s="6" t="e">
        <f>INDEX('[1]RTO Register'!Q$2:Q$698,MATCH($A241,'[1]RTO Register'!$AA$2:$AA$698,0))</f>
        <v>#N/A</v>
      </c>
      <c r="O241" s="6" t="e">
        <f>INDEX('[1]RTO Register'!R$2:R$698,MATCH($A241,'[1]RTO Register'!$AA$2:$AA$698,0))</f>
        <v>#N/A</v>
      </c>
      <c r="P241" s="6" t="e">
        <f>INDEX('[1]RTO Register'!S$2:S$698,MATCH($A241,'[1]RTO Register'!$AA$2:$AA$698,0))</f>
        <v>#N/A</v>
      </c>
      <c r="Q241" s="6" t="e">
        <f t="shared" si="7"/>
        <v>#N/A</v>
      </c>
    </row>
    <row r="242" spans="6:17" x14ac:dyDescent="0.25">
      <c r="F242" s="1" t="str">
        <f t="shared" si="6"/>
        <v/>
      </c>
      <c r="G242" s="1" t="str">
        <f>IFERROR(IF(INDEX('[1]RTO Register'!AP$2:AP$698,MATCH($A242,'[1]RTO Register'!$AA$2:$AA$698,0))="Yes","School",""),"")</f>
        <v/>
      </c>
      <c r="H242" s="6" t="e">
        <f>INDEX('[1]RTO Register'!K$2:K$698,MATCH($A242,'[1]RTO Register'!$AA$2:$AA$698,0))</f>
        <v>#N/A</v>
      </c>
      <c r="I242" s="6" t="e">
        <f>INDEX('[1]RTO Register'!L$2:L$698,MATCH($A242,'[1]RTO Register'!$AA$2:$AA$698,0))</f>
        <v>#N/A</v>
      </c>
      <c r="J242" s="6" t="e">
        <f>INDEX('[1]RTO Register'!M$2:M$698,MATCH($A242,'[1]RTO Register'!$AA$2:$AA$698,0))</f>
        <v>#N/A</v>
      </c>
      <c r="K242" s="6" t="e">
        <f>INDEX('[1]RTO Register'!N$2:N$698,MATCH($A242,'[1]RTO Register'!$AA$2:$AA$698,0))</f>
        <v>#N/A</v>
      </c>
      <c r="L242" s="6" t="e">
        <f>INDEX('[1]RTO Register'!O$2:O$698,MATCH($A242,'[1]RTO Register'!$AA$2:$AA$698,0))</f>
        <v>#N/A</v>
      </c>
      <c r="M242" s="6" t="e">
        <f>INDEX('[1]RTO Register'!P$2:P$698,MATCH($A242,'[1]RTO Register'!$AA$2:$AA$698,0))</f>
        <v>#N/A</v>
      </c>
      <c r="N242" s="6" t="e">
        <f>INDEX('[1]RTO Register'!Q$2:Q$698,MATCH($A242,'[1]RTO Register'!$AA$2:$AA$698,0))</f>
        <v>#N/A</v>
      </c>
      <c r="O242" s="6" t="e">
        <f>INDEX('[1]RTO Register'!R$2:R$698,MATCH($A242,'[1]RTO Register'!$AA$2:$AA$698,0))</f>
        <v>#N/A</v>
      </c>
      <c r="P242" s="6" t="e">
        <f>INDEX('[1]RTO Register'!S$2:S$698,MATCH($A242,'[1]RTO Register'!$AA$2:$AA$698,0))</f>
        <v>#N/A</v>
      </c>
      <c r="Q242" s="6" t="e">
        <f t="shared" si="7"/>
        <v>#N/A</v>
      </c>
    </row>
    <row r="243" spans="6:17" x14ac:dyDescent="0.25">
      <c r="F243" s="1" t="str">
        <f t="shared" si="6"/>
        <v/>
      </c>
      <c r="G243" s="1" t="str">
        <f>IFERROR(IF(INDEX('[1]RTO Register'!AP$2:AP$698,MATCH($A243,'[1]RTO Register'!$AA$2:$AA$698,0))="Yes","School",""),"")</f>
        <v/>
      </c>
      <c r="H243" s="6" t="e">
        <f>INDEX('[1]RTO Register'!K$2:K$698,MATCH($A243,'[1]RTO Register'!$AA$2:$AA$698,0))</f>
        <v>#N/A</v>
      </c>
      <c r="I243" s="6" t="e">
        <f>INDEX('[1]RTO Register'!L$2:L$698,MATCH($A243,'[1]RTO Register'!$AA$2:$AA$698,0))</f>
        <v>#N/A</v>
      </c>
      <c r="J243" s="6" t="e">
        <f>INDEX('[1]RTO Register'!M$2:M$698,MATCH($A243,'[1]RTO Register'!$AA$2:$AA$698,0))</f>
        <v>#N/A</v>
      </c>
      <c r="K243" s="6" t="e">
        <f>INDEX('[1]RTO Register'!N$2:N$698,MATCH($A243,'[1]RTO Register'!$AA$2:$AA$698,0))</f>
        <v>#N/A</v>
      </c>
      <c r="L243" s="6" t="e">
        <f>INDEX('[1]RTO Register'!O$2:O$698,MATCH($A243,'[1]RTO Register'!$AA$2:$AA$698,0))</f>
        <v>#N/A</v>
      </c>
      <c r="M243" s="6" t="e">
        <f>INDEX('[1]RTO Register'!P$2:P$698,MATCH($A243,'[1]RTO Register'!$AA$2:$AA$698,0))</f>
        <v>#N/A</v>
      </c>
      <c r="N243" s="6" t="e">
        <f>INDEX('[1]RTO Register'!Q$2:Q$698,MATCH($A243,'[1]RTO Register'!$AA$2:$AA$698,0))</f>
        <v>#N/A</v>
      </c>
      <c r="O243" s="6" t="e">
        <f>INDEX('[1]RTO Register'!R$2:R$698,MATCH($A243,'[1]RTO Register'!$AA$2:$AA$698,0))</f>
        <v>#N/A</v>
      </c>
      <c r="P243" s="6" t="e">
        <f>INDEX('[1]RTO Register'!S$2:S$698,MATCH($A243,'[1]RTO Register'!$AA$2:$AA$698,0))</f>
        <v>#N/A</v>
      </c>
      <c r="Q243" s="6" t="e">
        <f t="shared" si="7"/>
        <v>#N/A</v>
      </c>
    </row>
    <row r="244" spans="6:17" x14ac:dyDescent="0.25">
      <c r="F244" s="1" t="str">
        <f t="shared" si="6"/>
        <v/>
      </c>
      <c r="G244" s="1" t="str">
        <f>IFERROR(IF(INDEX('[1]RTO Register'!AP$2:AP$698,MATCH($A244,'[1]RTO Register'!$AA$2:$AA$698,0))="Yes","School",""),"")</f>
        <v/>
      </c>
      <c r="H244" s="6" t="e">
        <f>INDEX('[1]RTO Register'!K$2:K$698,MATCH($A244,'[1]RTO Register'!$AA$2:$AA$698,0))</f>
        <v>#N/A</v>
      </c>
      <c r="I244" s="6" t="e">
        <f>INDEX('[1]RTO Register'!L$2:L$698,MATCH($A244,'[1]RTO Register'!$AA$2:$AA$698,0))</f>
        <v>#N/A</v>
      </c>
      <c r="J244" s="6" t="e">
        <f>INDEX('[1]RTO Register'!M$2:M$698,MATCH($A244,'[1]RTO Register'!$AA$2:$AA$698,0))</f>
        <v>#N/A</v>
      </c>
      <c r="K244" s="6" t="e">
        <f>INDEX('[1]RTO Register'!N$2:N$698,MATCH($A244,'[1]RTO Register'!$AA$2:$AA$698,0))</f>
        <v>#N/A</v>
      </c>
      <c r="L244" s="6" t="e">
        <f>INDEX('[1]RTO Register'!O$2:O$698,MATCH($A244,'[1]RTO Register'!$AA$2:$AA$698,0))</f>
        <v>#N/A</v>
      </c>
      <c r="M244" s="6" t="e">
        <f>INDEX('[1]RTO Register'!P$2:P$698,MATCH($A244,'[1]RTO Register'!$AA$2:$AA$698,0))</f>
        <v>#N/A</v>
      </c>
      <c r="N244" s="6" t="e">
        <f>INDEX('[1]RTO Register'!Q$2:Q$698,MATCH($A244,'[1]RTO Register'!$AA$2:$AA$698,0))</f>
        <v>#N/A</v>
      </c>
      <c r="O244" s="6" t="e">
        <f>INDEX('[1]RTO Register'!R$2:R$698,MATCH($A244,'[1]RTO Register'!$AA$2:$AA$698,0))</f>
        <v>#N/A</v>
      </c>
      <c r="P244" s="6" t="e">
        <f>INDEX('[1]RTO Register'!S$2:S$698,MATCH($A244,'[1]RTO Register'!$AA$2:$AA$698,0))</f>
        <v>#N/A</v>
      </c>
      <c r="Q244" s="6" t="e">
        <f t="shared" si="7"/>
        <v>#N/A</v>
      </c>
    </row>
    <row r="245" spans="6:17" x14ac:dyDescent="0.25">
      <c r="F245" s="1" t="str">
        <f t="shared" si="6"/>
        <v/>
      </c>
      <c r="G245" s="1" t="str">
        <f>IFERROR(IF(INDEX('[1]RTO Register'!AP$2:AP$698,MATCH($A245,'[1]RTO Register'!$AA$2:$AA$698,0))="Yes","School",""),"")</f>
        <v/>
      </c>
      <c r="H245" s="6" t="e">
        <f>INDEX('[1]RTO Register'!K$2:K$698,MATCH($A245,'[1]RTO Register'!$AA$2:$AA$698,0))</f>
        <v>#N/A</v>
      </c>
      <c r="I245" s="6" t="e">
        <f>INDEX('[1]RTO Register'!L$2:L$698,MATCH($A245,'[1]RTO Register'!$AA$2:$AA$698,0))</f>
        <v>#N/A</v>
      </c>
      <c r="J245" s="6" t="e">
        <f>INDEX('[1]RTO Register'!M$2:M$698,MATCH($A245,'[1]RTO Register'!$AA$2:$AA$698,0))</f>
        <v>#N/A</v>
      </c>
      <c r="K245" s="6" t="e">
        <f>INDEX('[1]RTO Register'!N$2:N$698,MATCH($A245,'[1]RTO Register'!$AA$2:$AA$698,0))</f>
        <v>#N/A</v>
      </c>
      <c r="L245" s="6" t="e">
        <f>INDEX('[1]RTO Register'!O$2:O$698,MATCH($A245,'[1]RTO Register'!$AA$2:$AA$698,0))</f>
        <v>#N/A</v>
      </c>
      <c r="M245" s="6" t="e">
        <f>INDEX('[1]RTO Register'!P$2:P$698,MATCH($A245,'[1]RTO Register'!$AA$2:$AA$698,0))</f>
        <v>#N/A</v>
      </c>
      <c r="N245" s="6" t="e">
        <f>INDEX('[1]RTO Register'!Q$2:Q$698,MATCH($A245,'[1]RTO Register'!$AA$2:$AA$698,0))</f>
        <v>#N/A</v>
      </c>
      <c r="O245" s="6" t="e">
        <f>INDEX('[1]RTO Register'!R$2:R$698,MATCH($A245,'[1]RTO Register'!$AA$2:$AA$698,0))</f>
        <v>#N/A</v>
      </c>
      <c r="P245" s="6" t="e">
        <f>INDEX('[1]RTO Register'!S$2:S$698,MATCH($A245,'[1]RTO Register'!$AA$2:$AA$698,0))</f>
        <v>#N/A</v>
      </c>
      <c r="Q245" s="6" t="e">
        <f t="shared" si="7"/>
        <v>#N/A</v>
      </c>
    </row>
    <row r="246" spans="6:17" x14ac:dyDescent="0.25">
      <c r="F246" s="1" t="str">
        <f t="shared" si="6"/>
        <v/>
      </c>
      <c r="G246" s="1" t="str">
        <f>IFERROR(IF(INDEX('[1]RTO Register'!AP$2:AP$698,MATCH($A246,'[1]RTO Register'!$AA$2:$AA$698,0))="Yes","School",""),"")</f>
        <v/>
      </c>
      <c r="H246" s="6" t="e">
        <f>INDEX('[1]RTO Register'!K$2:K$698,MATCH($A246,'[1]RTO Register'!$AA$2:$AA$698,0))</f>
        <v>#N/A</v>
      </c>
      <c r="I246" s="6" t="e">
        <f>INDEX('[1]RTO Register'!L$2:L$698,MATCH($A246,'[1]RTO Register'!$AA$2:$AA$698,0))</f>
        <v>#N/A</v>
      </c>
      <c r="J246" s="6" t="e">
        <f>INDEX('[1]RTO Register'!M$2:M$698,MATCH($A246,'[1]RTO Register'!$AA$2:$AA$698,0))</f>
        <v>#N/A</v>
      </c>
      <c r="K246" s="6" t="e">
        <f>INDEX('[1]RTO Register'!N$2:N$698,MATCH($A246,'[1]RTO Register'!$AA$2:$AA$698,0))</f>
        <v>#N/A</v>
      </c>
      <c r="L246" s="6" t="e">
        <f>INDEX('[1]RTO Register'!O$2:O$698,MATCH($A246,'[1]RTO Register'!$AA$2:$AA$698,0))</f>
        <v>#N/A</v>
      </c>
      <c r="M246" s="6" t="e">
        <f>INDEX('[1]RTO Register'!P$2:P$698,MATCH($A246,'[1]RTO Register'!$AA$2:$AA$698,0))</f>
        <v>#N/A</v>
      </c>
      <c r="N246" s="6" t="e">
        <f>INDEX('[1]RTO Register'!Q$2:Q$698,MATCH($A246,'[1]RTO Register'!$AA$2:$AA$698,0))</f>
        <v>#N/A</v>
      </c>
      <c r="O246" s="6" t="e">
        <f>INDEX('[1]RTO Register'!R$2:R$698,MATCH($A246,'[1]RTO Register'!$AA$2:$AA$698,0))</f>
        <v>#N/A</v>
      </c>
      <c r="P246" s="6" t="e">
        <f>INDEX('[1]RTO Register'!S$2:S$698,MATCH($A246,'[1]RTO Register'!$AA$2:$AA$698,0))</f>
        <v>#N/A</v>
      </c>
      <c r="Q246" s="6" t="e">
        <f t="shared" si="7"/>
        <v>#N/A</v>
      </c>
    </row>
    <row r="247" spans="6:17" x14ac:dyDescent="0.25">
      <c r="F247" s="1" t="str">
        <f t="shared" si="6"/>
        <v/>
      </c>
      <c r="G247" s="1" t="str">
        <f>IFERROR(IF(INDEX('[1]RTO Register'!AP$2:AP$698,MATCH($A247,'[1]RTO Register'!$AA$2:$AA$698,0))="Yes","School",""),"")</f>
        <v/>
      </c>
      <c r="H247" s="6" t="e">
        <f>INDEX('[1]RTO Register'!K$2:K$698,MATCH($A247,'[1]RTO Register'!$AA$2:$AA$698,0))</f>
        <v>#N/A</v>
      </c>
      <c r="I247" s="6" t="e">
        <f>INDEX('[1]RTO Register'!L$2:L$698,MATCH($A247,'[1]RTO Register'!$AA$2:$AA$698,0))</f>
        <v>#N/A</v>
      </c>
      <c r="J247" s="6" t="e">
        <f>INDEX('[1]RTO Register'!M$2:M$698,MATCH($A247,'[1]RTO Register'!$AA$2:$AA$698,0))</f>
        <v>#N/A</v>
      </c>
      <c r="K247" s="6" t="e">
        <f>INDEX('[1]RTO Register'!N$2:N$698,MATCH($A247,'[1]RTO Register'!$AA$2:$AA$698,0))</f>
        <v>#N/A</v>
      </c>
      <c r="L247" s="6" t="e">
        <f>INDEX('[1]RTO Register'!O$2:O$698,MATCH($A247,'[1]RTO Register'!$AA$2:$AA$698,0))</f>
        <v>#N/A</v>
      </c>
      <c r="M247" s="6" t="e">
        <f>INDEX('[1]RTO Register'!P$2:P$698,MATCH($A247,'[1]RTO Register'!$AA$2:$AA$698,0))</f>
        <v>#N/A</v>
      </c>
      <c r="N247" s="6" t="e">
        <f>INDEX('[1]RTO Register'!Q$2:Q$698,MATCH($A247,'[1]RTO Register'!$AA$2:$AA$698,0))</f>
        <v>#N/A</v>
      </c>
      <c r="O247" s="6" t="e">
        <f>INDEX('[1]RTO Register'!R$2:R$698,MATCH($A247,'[1]RTO Register'!$AA$2:$AA$698,0))</f>
        <v>#N/A</v>
      </c>
      <c r="P247" s="6" t="e">
        <f>INDEX('[1]RTO Register'!S$2:S$698,MATCH($A247,'[1]RTO Register'!$AA$2:$AA$698,0))</f>
        <v>#N/A</v>
      </c>
      <c r="Q247" s="6" t="e">
        <f t="shared" si="7"/>
        <v>#N/A</v>
      </c>
    </row>
    <row r="248" spans="6:17" x14ac:dyDescent="0.25">
      <c r="F248" s="1" t="str">
        <f t="shared" si="6"/>
        <v/>
      </c>
      <c r="G248" s="1" t="str">
        <f>IFERROR(IF(INDEX('[1]RTO Register'!AP$2:AP$698,MATCH($A248,'[1]RTO Register'!$AA$2:$AA$698,0))="Yes","School",""),"")</f>
        <v/>
      </c>
      <c r="H248" s="6" t="e">
        <f>INDEX('[1]RTO Register'!K$2:K$698,MATCH($A248,'[1]RTO Register'!$AA$2:$AA$698,0))</f>
        <v>#N/A</v>
      </c>
      <c r="I248" s="6" t="e">
        <f>INDEX('[1]RTO Register'!L$2:L$698,MATCH($A248,'[1]RTO Register'!$AA$2:$AA$698,0))</f>
        <v>#N/A</v>
      </c>
      <c r="J248" s="6" t="e">
        <f>INDEX('[1]RTO Register'!M$2:M$698,MATCH($A248,'[1]RTO Register'!$AA$2:$AA$698,0))</f>
        <v>#N/A</v>
      </c>
      <c r="K248" s="6" t="e">
        <f>INDEX('[1]RTO Register'!N$2:N$698,MATCH($A248,'[1]RTO Register'!$AA$2:$AA$698,0))</f>
        <v>#N/A</v>
      </c>
      <c r="L248" s="6" t="e">
        <f>INDEX('[1]RTO Register'!O$2:O$698,MATCH($A248,'[1]RTO Register'!$AA$2:$AA$698,0))</f>
        <v>#N/A</v>
      </c>
      <c r="M248" s="6" t="e">
        <f>INDEX('[1]RTO Register'!P$2:P$698,MATCH($A248,'[1]RTO Register'!$AA$2:$AA$698,0))</f>
        <v>#N/A</v>
      </c>
      <c r="N248" s="6" t="e">
        <f>INDEX('[1]RTO Register'!Q$2:Q$698,MATCH($A248,'[1]RTO Register'!$AA$2:$AA$698,0))</f>
        <v>#N/A</v>
      </c>
      <c r="O248" s="6" t="e">
        <f>INDEX('[1]RTO Register'!R$2:R$698,MATCH($A248,'[1]RTO Register'!$AA$2:$AA$698,0))</f>
        <v>#N/A</v>
      </c>
      <c r="P248" s="6" t="e">
        <f>INDEX('[1]RTO Register'!S$2:S$698,MATCH($A248,'[1]RTO Register'!$AA$2:$AA$698,0))</f>
        <v>#N/A</v>
      </c>
      <c r="Q248" s="6" t="e">
        <f t="shared" si="7"/>
        <v>#N/A</v>
      </c>
    </row>
    <row r="249" spans="6:17" x14ac:dyDescent="0.25">
      <c r="F249" s="1" t="str">
        <f t="shared" si="6"/>
        <v/>
      </c>
      <c r="G249" s="1" t="str">
        <f>IFERROR(IF(INDEX('[1]RTO Register'!AP$2:AP$698,MATCH($A249,'[1]RTO Register'!$AA$2:$AA$698,0))="Yes","School",""),"")</f>
        <v/>
      </c>
      <c r="H249" s="6" t="e">
        <f>INDEX('[1]RTO Register'!K$2:K$698,MATCH($A249,'[1]RTO Register'!$AA$2:$AA$698,0))</f>
        <v>#N/A</v>
      </c>
      <c r="I249" s="6" t="e">
        <f>INDEX('[1]RTO Register'!L$2:L$698,MATCH($A249,'[1]RTO Register'!$AA$2:$AA$698,0))</f>
        <v>#N/A</v>
      </c>
      <c r="J249" s="6" t="e">
        <f>INDEX('[1]RTO Register'!M$2:M$698,MATCH($A249,'[1]RTO Register'!$AA$2:$AA$698,0))</f>
        <v>#N/A</v>
      </c>
      <c r="K249" s="6" t="e">
        <f>INDEX('[1]RTO Register'!N$2:N$698,MATCH($A249,'[1]RTO Register'!$AA$2:$AA$698,0))</f>
        <v>#N/A</v>
      </c>
      <c r="L249" s="6" t="e">
        <f>INDEX('[1]RTO Register'!O$2:O$698,MATCH($A249,'[1]RTO Register'!$AA$2:$AA$698,0))</f>
        <v>#N/A</v>
      </c>
      <c r="M249" s="6" t="e">
        <f>INDEX('[1]RTO Register'!P$2:P$698,MATCH($A249,'[1]RTO Register'!$AA$2:$AA$698,0))</f>
        <v>#N/A</v>
      </c>
      <c r="N249" s="6" t="e">
        <f>INDEX('[1]RTO Register'!Q$2:Q$698,MATCH($A249,'[1]RTO Register'!$AA$2:$AA$698,0))</f>
        <v>#N/A</v>
      </c>
      <c r="O249" s="6" t="e">
        <f>INDEX('[1]RTO Register'!R$2:R$698,MATCH($A249,'[1]RTO Register'!$AA$2:$AA$698,0))</f>
        <v>#N/A</v>
      </c>
      <c r="P249" s="6" t="e">
        <f>INDEX('[1]RTO Register'!S$2:S$698,MATCH($A249,'[1]RTO Register'!$AA$2:$AA$698,0))</f>
        <v>#N/A</v>
      </c>
      <c r="Q249" s="6" t="e">
        <f t="shared" si="7"/>
        <v>#N/A</v>
      </c>
    </row>
    <row r="250" spans="6:17" x14ac:dyDescent="0.25">
      <c r="F250" s="1" t="str">
        <f t="shared" si="6"/>
        <v/>
      </c>
      <c r="G250" s="1" t="str">
        <f>IFERROR(IF(INDEX('[1]RTO Register'!AP$2:AP$698,MATCH($A250,'[1]RTO Register'!$AA$2:$AA$698,0))="Yes","School",""),"")</f>
        <v/>
      </c>
      <c r="H250" s="6" t="e">
        <f>INDEX('[1]RTO Register'!K$2:K$698,MATCH($A250,'[1]RTO Register'!$AA$2:$AA$698,0))</f>
        <v>#N/A</v>
      </c>
      <c r="I250" s="6" t="e">
        <f>INDEX('[1]RTO Register'!L$2:L$698,MATCH($A250,'[1]RTO Register'!$AA$2:$AA$698,0))</f>
        <v>#N/A</v>
      </c>
      <c r="J250" s="6" t="e">
        <f>INDEX('[1]RTO Register'!M$2:M$698,MATCH($A250,'[1]RTO Register'!$AA$2:$AA$698,0))</f>
        <v>#N/A</v>
      </c>
      <c r="K250" s="6" t="e">
        <f>INDEX('[1]RTO Register'!N$2:N$698,MATCH($A250,'[1]RTO Register'!$AA$2:$AA$698,0))</f>
        <v>#N/A</v>
      </c>
      <c r="L250" s="6" t="e">
        <f>INDEX('[1]RTO Register'!O$2:O$698,MATCH($A250,'[1]RTO Register'!$AA$2:$AA$698,0))</f>
        <v>#N/A</v>
      </c>
      <c r="M250" s="6" t="e">
        <f>INDEX('[1]RTO Register'!P$2:P$698,MATCH($A250,'[1]RTO Register'!$AA$2:$AA$698,0))</f>
        <v>#N/A</v>
      </c>
      <c r="N250" s="6" t="e">
        <f>INDEX('[1]RTO Register'!Q$2:Q$698,MATCH($A250,'[1]RTO Register'!$AA$2:$AA$698,0))</f>
        <v>#N/A</v>
      </c>
      <c r="O250" s="6" t="e">
        <f>INDEX('[1]RTO Register'!R$2:R$698,MATCH($A250,'[1]RTO Register'!$AA$2:$AA$698,0))</f>
        <v>#N/A</v>
      </c>
      <c r="P250" s="6" t="e">
        <f>INDEX('[1]RTO Register'!S$2:S$698,MATCH($A250,'[1]RTO Register'!$AA$2:$AA$698,0))</f>
        <v>#N/A</v>
      </c>
      <c r="Q250" s="6" t="e">
        <f t="shared" si="7"/>
        <v>#N/A</v>
      </c>
    </row>
    <row r="251" spans="6:17" x14ac:dyDescent="0.25">
      <c r="F251" s="1" t="str">
        <f t="shared" si="6"/>
        <v/>
      </c>
      <c r="G251" s="1" t="str">
        <f>IFERROR(IF(INDEX('[1]RTO Register'!AP$2:AP$698,MATCH($A251,'[1]RTO Register'!$AA$2:$AA$698,0))="Yes","School",""),"")</f>
        <v/>
      </c>
      <c r="H251" s="6" t="e">
        <f>INDEX('[1]RTO Register'!K$2:K$698,MATCH($A251,'[1]RTO Register'!$AA$2:$AA$698,0))</f>
        <v>#N/A</v>
      </c>
      <c r="I251" s="6" t="e">
        <f>INDEX('[1]RTO Register'!L$2:L$698,MATCH($A251,'[1]RTO Register'!$AA$2:$AA$698,0))</f>
        <v>#N/A</v>
      </c>
      <c r="J251" s="6" t="e">
        <f>INDEX('[1]RTO Register'!M$2:M$698,MATCH($A251,'[1]RTO Register'!$AA$2:$AA$698,0))</f>
        <v>#N/A</v>
      </c>
      <c r="K251" s="6" t="e">
        <f>INDEX('[1]RTO Register'!N$2:N$698,MATCH($A251,'[1]RTO Register'!$AA$2:$AA$698,0))</f>
        <v>#N/A</v>
      </c>
      <c r="L251" s="6" t="e">
        <f>INDEX('[1]RTO Register'!O$2:O$698,MATCH($A251,'[1]RTO Register'!$AA$2:$AA$698,0))</f>
        <v>#N/A</v>
      </c>
      <c r="M251" s="6" t="e">
        <f>INDEX('[1]RTO Register'!P$2:P$698,MATCH($A251,'[1]RTO Register'!$AA$2:$AA$698,0))</f>
        <v>#N/A</v>
      </c>
      <c r="N251" s="6" t="e">
        <f>INDEX('[1]RTO Register'!Q$2:Q$698,MATCH($A251,'[1]RTO Register'!$AA$2:$AA$698,0))</f>
        <v>#N/A</v>
      </c>
      <c r="O251" s="6" t="e">
        <f>INDEX('[1]RTO Register'!R$2:R$698,MATCH($A251,'[1]RTO Register'!$AA$2:$AA$698,0))</f>
        <v>#N/A</v>
      </c>
      <c r="P251" s="6" t="e">
        <f>INDEX('[1]RTO Register'!S$2:S$698,MATCH($A251,'[1]RTO Register'!$AA$2:$AA$698,0))</f>
        <v>#N/A</v>
      </c>
      <c r="Q251" s="6" t="e">
        <f t="shared" si="7"/>
        <v>#N/A</v>
      </c>
    </row>
    <row r="252" spans="6:17" x14ac:dyDescent="0.25">
      <c r="F252" s="1" t="str">
        <f t="shared" si="6"/>
        <v/>
      </c>
      <c r="G252" s="1" t="str">
        <f>IFERROR(IF(INDEX('[1]RTO Register'!AP$2:AP$698,MATCH($A252,'[1]RTO Register'!$AA$2:$AA$698,0))="Yes","School",""),"")</f>
        <v/>
      </c>
      <c r="H252" s="6" t="e">
        <f>INDEX('[1]RTO Register'!K$2:K$698,MATCH($A252,'[1]RTO Register'!$AA$2:$AA$698,0))</f>
        <v>#N/A</v>
      </c>
      <c r="I252" s="6" t="e">
        <f>INDEX('[1]RTO Register'!L$2:L$698,MATCH($A252,'[1]RTO Register'!$AA$2:$AA$698,0))</f>
        <v>#N/A</v>
      </c>
      <c r="J252" s="6" t="e">
        <f>INDEX('[1]RTO Register'!M$2:M$698,MATCH($A252,'[1]RTO Register'!$AA$2:$AA$698,0))</f>
        <v>#N/A</v>
      </c>
      <c r="K252" s="6" t="e">
        <f>INDEX('[1]RTO Register'!N$2:N$698,MATCH($A252,'[1]RTO Register'!$AA$2:$AA$698,0))</f>
        <v>#N/A</v>
      </c>
      <c r="L252" s="6" t="e">
        <f>INDEX('[1]RTO Register'!O$2:O$698,MATCH($A252,'[1]RTO Register'!$AA$2:$AA$698,0))</f>
        <v>#N/A</v>
      </c>
      <c r="M252" s="6" t="e">
        <f>INDEX('[1]RTO Register'!P$2:P$698,MATCH($A252,'[1]RTO Register'!$AA$2:$AA$698,0))</f>
        <v>#N/A</v>
      </c>
      <c r="N252" s="6" t="e">
        <f>INDEX('[1]RTO Register'!Q$2:Q$698,MATCH($A252,'[1]RTO Register'!$AA$2:$AA$698,0))</f>
        <v>#N/A</v>
      </c>
      <c r="O252" s="6" t="e">
        <f>INDEX('[1]RTO Register'!R$2:R$698,MATCH($A252,'[1]RTO Register'!$AA$2:$AA$698,0))</f>
        <v>#N/A</v>
      </c>
      <c r="P252" s="6" t="e">
        <f>INDEX('[1]RTO Register'!S$2:S$698,MATCH($A252,'[1]RTO Register'!$AA$2:$AA$698,0))</f>
        <v>#N/A</v>
      </c>
      <c r="Q252" s="6" t="e">
        <f t="shared" si="7"/>
        <v>#N/A</v>
      </c>
    </row>
    <row r="253" spans="6:17" x14ac:dyDescent="0.25">
      <c r="F253" s="1" t="str">
        <f t="shared" si="6"/>
        <v/>
      </c>
      <c r="G253" s="1" t="str">
        <f>IFERROR(IF(INDEX('[1]RTO Register'!AP$2:AP$698,MATCH($A253,'[1]RTO Register'!$AA$2:$AA$698,0))="Yes","School",""),"")</f>
        <v/>
      </c>
      <c r="H253" s="6" t="e">
        <f>INDEX('[1]RTO Register'!K$2:K$698,MATCH($A253,'[1]RTO Register'!$AA$2:$AA$698,0))</f>
        <v>#N/A</v>
      </c>
      <c r="I253" s="6" t="e">
        <f>INDEX('[1]RTO Register'!L$2:L$698,MATCH($A253,'[1]RTO Register'!$AA$2:$AA$698,0))</f>
        <v>#N/A</v>
      </c>
      <c r="J253" s="6" t="e">
        <f>INDEX('[1]RTO Register'!M$2:M$698,MATCH($A253,'[1]RTO Register'!$AA$2:$AA$698,0))</f>
        <v>#N/A</v>
      </c>
      <c r="K253" s="6" t="e">
        <f>INDEX('[1]RTO Register'!N$2:N$698,MATCH($A253,'[1]RTO Register'!$AA$2:$AA$698,0))</f>
        <v>#N/A</v>
      </c>
      <c r="L253" s="6" t="e">
        <f>INDEX('[1]RTO Register'!O$2:O$698,MATCH($A253,'[1]RTO Register'!$AA$2:$AA$698,0))</f>
        <v>#N/A</v>
      </c>
      <c r="M253" s="6" t="e">
        <f>INDEX('[1]RTO Register'!P$2:P$698,MATCH($A253,'[1]RTO Register'!$AA$2:$AA$698,0))</f>
        <v>#N/A</v>
      </c>
      <c r="N253" s="6" t="e">
        <f>INDEX('[1]RTO Register'!Q$2:Q$698,MATCH($A253,'[1]RTO Register'!$AA$2:$AA$698,0))</f>
        <v>#N/A</v>
      </c>
      <c r="O253" s="6" t="e">
        <f>INDEX('[1]RTO Register'!R$2:R$698,MATCH($A253,'[1]RTO Register'!$AA$2:$AA$698,0))</f>
        <v>#N/A</v>
      </c>
      <c r="P253" s="6" t="e">
        <f>INDEX('[1]RTO Register'!S$2:S$698,MATCH($A253,'[1]RTO Register'!$AA$2:$AA$698,0))</f>
        <v>#N/A</v>
      </c>
      <c r="Q253" s="6" t="e">
        <f t="shared" si="7"/>
        <v>#N/A</v>
      </c>
    </row>
    <row r="254" spans="6:17" x14ac:dyDescent="0.25">
      <c r="F254" s="1" t="str">
        <f t="shared" si="6"/>
        <v/>
      </c>
      <c r="G254" s="1" t="str">
        <f>IFERROR(IF(INDEX('[1]RTO Register'!AP$2:AP$698,MATCH($A254,'[1]RTO Register'!$AA$2:$AA$698,0))="Yes","School",""),"")</f>
        <v/>
      </c>
      <c r="H254" s="6" t="e">
        <f>INDEX('[1]RTO Register'!K$2:K$698,MATCH($A254,'[1]RTO Register'!$AA$2:$AA$698,0))</f>
        <v>#N/A</v>
      </c>
      <c r="I254" s="6" t="e">
        <f>INDEX('[1]RTO Register'!L$2:L$698,MATCH($A254,'[1]RTO Register'!$AA$2:$AA$698,0))</f>
        <v>#N/A</v>
      </c>
      <c r="J254" s="6" t="e">
        <f>INDEX('[1]RTO Register'!M$2:M$698,MATCH($A254,'[1]RTO Register'!$AA$2:$AA$698,0))</f>
        <v>#N/A</v>
      </c>
      <c r="K254" s="6" t="e">
        <f>INDEX('[1]RTO Register'!N$2:N$698,MATCH($A254,'[1]RTO Register'!$AA$2:$AA$698,0))</f>
        <v>#N/A</v>
      </c>
      <c r="L254" s="6" t="e">
        <f>INDEX('[1]RTO Register'!O$2:O$698,MATCH($A254,'[1]RTO Register'!$AA$2:$AA$698,0))</f>
        <v>#N/A</v>
      </c>
      <c r="M254" s="6" t="e">
        <f>INDEX('[1]RTO Register'!P$2:P$698,MATCH($A254,'[1]RTO Register'!$AA$2:$AA$698,0))</f>
        <v>#N/A</v>
      </c>
      <c r="N254" s="6" t="e">
        <f>INDEX('[1]RTO Register'!Q$2:Q$698,MATCH($A254,'[1]RTO Register'!$AA$2:$AA$698,0))</f>
        <v>#N/A</v>
      </c>
      <c r="O254" s="6" t="e">
        <f>INDEX('[1]RTO Register'!R$2:R$698,MATCH($A254,'[1]RTO Register'!$AA$2:$AA$698,0))</f>
        <v>#N/A</v>
      </c>
      <c r="P254" s="6" t="e">
        <f>INDEX('[1]RTO Register'!S$2:S$698,MATCH($A254,'[1]RTO Register'!$AA$2:$AA$698,0))</f>
        <v>#N/A</v>
      </c>
      <c r="Q254" s="6" t="e">
        <f t="shared" si="7"/>
        <v>#N/A</v>
      </c>
    </row>
    <row r="255" spans="6:17" x14ac:dyDescent="0.25">
      <c r="F255" s="1" t="str">
        <f t="shared" si="6"/>
        <v/>
      </c>
      <c r="G255" s="1" t="str">
        <f>IFERROR(IF(INDEX('[1]RTO Register'!AP$2:AP$698,MATCH($A255,'[1]RTO Register'!$AA$2:$AA$698,0))="Yes","School",""),"")</f>
        <v/>
      </c>
      <c r="H255" s="6" t="e">
        <f>INDEX('[1]RTO Register'!K$2:K$698,MATCH($A255,'[1]RTO Register'!$AA$2:$AA$698,0))</f>
        <v>#N/A</v>
      </c>
      <c r="I255" s="6" t="e">
        <f>INDEX('[1]RTO Register'!L$2:L$698,MATCH($A255,'[1]RTO Register'!$AA$2:$AA$698,0))</f>
        <v>#N/A</v>
      </c>
      <c r="J255" s="6" t="e">
        <f>INDEX('[1]RTO Register'!M$2:M$698,MATCH($A255,'[1]RTO Register'!$AA$2:$AA$698,0))</f>
        <v>#N/A</v>
      </c>
      <c r="K255" s="6" t="e">
        <f>INDEX('[1]RTO Register'!N$2:N$698,MATCH($A255,'[1]RTO Register'!$AA$2:$AA$698,0))</f>
        <v>#N/A</v>
      </c>
      <c r="L255" s="6" t="e">
        <f>INDEX('[1]RTO Register'!O$2:O$698,MATCH($A255,'[1]RTO Register'!$AA$2:$AA$698,0))</f>
        <v>#N/A</v>
      </c>
      <c r="M255" s="6" t="e">
        <f>INDEX('[1]RTO Register'!P$2:P$698,MATCH($A255,'[1]RTO Register'!$AA$2:$AA$698,0))</f>
        <v>#N/A</v>
      </c>
      <c r="N255" s="6" t="e">
        <f>INDEX('[1]RTO Register'!Q$2:Q$698,MATCH($A255,'[1]RTO Register'!$AA$2:$AA$698,0))</f>
        <v>#N/A</v>
      </c>
      <c r="O255" s="6" t="e">
        <f>INDEX('[1]RTO Register'!R$2:R$698,MATCH($A255,'[1]RTO Register'!$AA$2:$AA$698,0))</f>
        <v>#N/A</v>
      </c>
      <c r="P255" s="6" t="e">
        <f>INDEX('[1]RTO Register'!S$2:S$698,MATCH($A255,'[1]RTO Register'!$AA$2:$AA$698,0))</f>
        <v>#N/A</v>
      </c>
      <c r="Q255" s="6" t="e">
        <f t="shared" si="7"/>
        <v>#N/A</v>
      </c>
    </row>
    <row r="256" spans="6:17" x14ac:dyDescent="0.25">
      <c r="F256" s="1" t="str">
        <f t="shared" si="6"/>
        <v/>
      </c>
      <c r="G256" s="1" t="str">
        <f>IFERROR(IF(INDEX('[1]RTO Register'!AP$2:AP$698,MATCH($A256,'[1]RTO Register'!$AA$2:$AA$698,0))="Yes","School",""),"")</f>
        <v/>
      </c>
      <c r="H256" s="6" t="e">
        <f>INDEX('[1]RTO Register'!K$2:K$698,MATCH($A256,'[1]RTO Register'!$AA$2:$AA$698,0))</f>
        <v>#N/A</v>
      </c>
      <c r="I256" s="6" t="e">
        <f>INDEX('[1]RTO Register'!L$2:L$698,MATCH($A256,'[1]RTO Register'!$AA$2:$AA$698,0))</f>
        <v>#N/A</v>
      </c>
      <c r="J256" s="6" t="e">
        <f>INDEX('[1]RTO Register'!M$2:M$698,MATCH($A256,'[1]RTO Register'!$AA$2:$AA$698,0))</f>
        <v>#N/A</v>
      </c>
      <c r="K256" s="6" t="e">
        <f>INDEX('[1]RTO Register'!N$2:N$698,MATCH($A256,'[1]RTO Register'!$AA$2:$AA$698,0))</f>
        <v>#N/A</v>
      </c>
      <c r="L256" s="6" t="e">
        <f>INDEX('[1]RTO Register'!O$2:O$698,MATCH($A256,'[1]RTO Register'!$AA$2:$AA$698,0))</f>
        <v>#N/A</v>
      </c>
      <c r="M256" s="6" t="e">
        <f>INDEX('[1]RTO Register'!P$2:P$698,MATCH($A256,'[1]RTO Register'!$AA$2:$AA$698,0))</f>
        <v>#N/A</v>
      </c>
      <c r="N256" s="6" t="e">
        <f>INDEX('[1]RTO Register'!Q$2:Q$698,MATCH($A256,'[1]RTO Register'!$AA$2:$AA$698,0))</f>
        <v>#N/A</v>
      </c>
      <c r="O256" s="6" t="e">
        <f>INDEX('[1]RTO Register'!R$2:R$698,MATCH($A256,'[1]RTO Register'!$AA$2:$AA$698,0))</f>
        <v>#N/A</v>
      </c>
      <c r="P256" s="6" t="e">
        <f>INDEX('[1]RTO Register'!S$2:S$698,MATCH($A256,'[1]RTO Register'!$AA$2:$AA$698,0))</f>
        <v>#N/A</v>
      </c>
      <c r="Q256" s="6" t="e">
        <f t="shared" si="7"/>
        <v>#N/A</v>
      </c>
    </row>
    <row r="257" spans="6:17" x14ac:dyDescent="0.25">
      <c r="F257" s="1" t="str">
        <f t="shared" si="6"/>
        <v/>
      </c>
      <c r="G257" s="1" t="str">
        <f>IFERROR(IF(INDEX('[1]RTO Register'!AP$2:AP$698,MATCH($A257,'[1]RTO Register'!$AA$2:$AA$698,0))="Yes","School",""),"")</f>
        <v/>
      </c>
      <c r="H257" s="6" t="e">
        <f>INDEX('[1]RTO Register'!K$2:K$698,MATCH($A257,'[1]RTO Register'!$AA$2:$AA$698,0))</f>
        <v>#N/A</v>
      </c>
      <c r="I257" s="6" t="e">
        <f>INDEX('[1]RTO Register'!L$2:L$698,MATCH($A257,'[1]RTO Register'!$AA$2:$AA$698,0))</f>
        <v>#N/A</v>
      </c>
      <c r="J257" s="6" t="e">
        <f>INDEX('[1]RTO Register'!M$2:M$698,MATCH($A257,'[1]RTO Register'!$AA$2:$AA$698,0))</f>
        <v>#N/A</v>
      </c>
      <c r="K257" s="6" t="e">
        <f>INDEX('[1]RTO Register'!N$2:N$698,MATCH($A257,'[1]RTO Register'!$AA$2:$AA$698,0))</f>
        <v>#N/A</v>
      </c>
      <c r="L257" s="6" t="e">
        <f>INDEX('[1]RTO Register'!O$2:O$698,MATCH($A257,'[1]RTO Register'!$AA$2:$AA$698,0))</f>
        <v>#N/A</v>
      </c>
      <c r="M257" s="6" t="e">
        <f>INDEX('[1]RTO Register'!P$2:P$698,MATCH($A257,'[1]RTO Register'!$AA$2:$AA$698,0))</f>
        <v>#N/A</v>
      </c>
      <c r="N257" s="6" t="e">
        <f>INDEX('[1]RTO Register'!Q$2:Q$698,MATCH($A257,'[1]RTO Register'!$AA$2:$AA$698,0))</f>
        <v>#N/A</v>
      </c>
      <c r="O257" s="6" t="e">
        <f>INDEX('[1]RTO Register'!R$2:R$698,MATCH($A257,'[1]RTO Register'!$AA$2:$AA$698,0))</f>
        <v>#N/A</v>
      </c>
      <c r="P257" s="6" t="e">
        <f>INDEX('[1]RTO Register'!S$2:S$698,MATCH($A257,'[1]RTO Register'!$AA$2:$AA$698,0))</f>
        <v>#N/A</v>
      </c>
      <c r="Q257" s="6" t="e">
        <f t="shared" si="7"/>
        <v>#N/A</v>
      </c>
    </row>
    <row r="258" spans="6:17" x14ac:dyDescent="0.25">
      <c r="F258" s="1" t="str">
        <f t="shared" si="6"/>
        <v/>
      </c>
      <c r="G258" s="1" t="str">
        <f>IFERROR(IF(INDEX('[1]RTO Register'!AP$2:AP$698,MATCH($A258,'[1]RTO Register'!$AA$2:$AA$698,0))="Yes","School",""),"")</f>
        <v/>
      </c>
      <c r="H258" s="6" t="e">
        <f>INDEX('[1]RTO Register'!K$2:K$698,MATCH($A258,'[1]RTO Register'!$AA$2:$AA$698,0))</f>
        <v>#N/A</v>
      </c>
      <c r="I258" s="6" t="e">
        <f>INDEX('[1]RTO Register'!L$2:L$698,MATCH($A258,'[1]RTO Register'!$AA$2:$AA$698,0))</f>
        <v>#N/A</v>
      </c>
      <c r="J258" s="6" t="e">
        <f>INDEX('[1]RTO Register'!M$2:M$698,MATCH($A258,'[1]RTO Register'!$AA$2:$AA$698,0))</f>
        <v>#N/A</v>
      </c>
      <c r="K258" s="6" t="e">
        <f>INDEX('[1]RTO Register'!N$2:N$698,MATCH($A258,'[1]RTO Register'!$AA$2:$AA$698,0))</f>
        <v>#N/A</v>
      </c>
      <c r="L258" s="6" t="e">
        <f>INDEX('[1]RTO Register'!O$2:O$698,MATCH($A258,'[1]RTO Register'!$AA$2:$AA$698,0))</f>
        <v>#N/A</v>
      </c>
      <c r="M258" s="6" t="e">
        <f>INDEX('[1]RTO Register'!P$2:P$698,MATCH($A258,'[1]RTO Register'!$AA$2:$AA$698,0))</f>
        <v>#N/A</v>
      </c>
      <c r="N258" s="6" t="e">
        <f>INDEX('[1]RTO Register'!Q$2:Q$698,MATCH($A258,'[1]RTO Register'!$AA$2:$AA$698,0))</f>
        <v>#N/A</v>
      </c>
      <c r="O258" s="6" t="e">
        <f>INDEX('[1]RTO Register'!R$2:R$698,MATCH($A258,'[1]RTO Register'!$AA$2:$AA$698,0))</f>
        <v>#N/A</v>
      </c>
      <c r="P258" s="6" t="e">
        <f>INDEX('[1]RTO Register'!S$2:S$698,MATCH($A258,'[1]RTO Register'!$AA$2:$AA$698,0))</f>
        <v>#N/A</v>
      </c>
      <c r="Q258" s="6" t="e">
        <f t="shared" si="7"/>
        <v>#N/A</v>
      </c>
    </row>
    <row r="259" spans="6:17" x14ac:dyDescent="0.25">
      <c r="F259" s="1" t="str">
        <f t="shared" si="6"/>
        <v/>
      </c>
      <c r="G259" s="1" t="str">
        <f>IFERROR(IF(INDEX('[1]RTO Register'!AP$2:AP$698,MATCH($A259,'[1]RTO Register'!$AA$2:$AA$698,0))="Yes","School",""),"")</f>
        <v/>
      </c>
      <c r="H259" s="6" t="e">
        <f>INDEX('[1]RTO Register'!K$2:K$698,MATCH($A259,'[1]RTO Register'!$AA$2:$AA$698,0))</f>
        <v>#N/A</v>
      </c>
      <c r="I259" s="6" t="e">
        <f>INDEX('[1]RTO Register'!L$2:L$698,MATCH($A259,'[1]RTO Register'!$AA$2:$AA$698,0))</f>
        <v>#N/A</v>
      </c>
      <c r="J259" s="6" t="e">
        <f>INDEX('[1]RTO Register'!M$2:M$698,MATCH($A259,'[1]RTO Register'!$AA$2:$AA$698,0))</f>
        <v>#N/A</v>
      </c>
      <c r="K259" s="6" t="e">
        <f>INDEX('[1]RTO Register'!N$2:N$698,MATCH($A259,'[1]RTO Register'!$AA$2:$AA$698,0))</f>
        <v>#N/A</v>
      </c>
      <c r="L259" s="6" t="e">
        <f>INDEX('[1]RTO Register'!O$2:O$698,MATCH($A259,'[1]RTO Register'!$AA$2:$AA$698,0))</f>
        <v>#N/A</v>
      </c>
      <c r="M259" s="6" t="e">
        <f>INDEX('[1]RTO Register'!P$2:P$698,MATCH($A259,'[1]RTO Register'!$AA$2:$AA$698,0))</f>
        <v>#N/A</v>
      </c>
      <c r="N259" s="6" t="e">
        <f>INDEX('[1]RTO Register'!Q$2:Q$698,MATCH($A259,'[1]RTO Register'!$AA$2:$AA$698,0))</f>
        <v>#N/A</v>
      </c>
      <c r="O259" s="6" t="e">
        <f>INDEX('[1]RTO Register'!R$2:R$698,MATCH($A259,'[1]RTO Register'!$AA$2:$AA$698,0))</f>
        <v>#N/A</v>
      </c>
      <c r="P259" s="6" t="e">
        <f>INDEX('[1]RTO Register'!S$2:S$698,MATCH($A259,'[1]RTO Register'!$AA$2:$AA$698,0))</f>
        <v>#N/A</v>
      </c>
      <c r="Q259" s="6" t="e">
        <f t="shared" si="7"/>
        <v>#N/A</v>
      </c>
    </row>
    <row r="260" spans="6:17" x14ac:dyDescent="0.25">
      <c r="F260" s="1" t="str">
        <f t="shared" ref="F260:F323" si="8">IFERROR(IF(R260=$L$2,"CRTD approved",""),"")</f>
        <v/>
      </c>
      <c r="G260" s="1" t="str">
        <f>IFERROR(IF(INDEX('[1]RTO Register'!AP$2:AP$698,MATCH($A260,'[1]RTO Register'!$AA$2:$AA$698,0))="Yes","School",""),"")</f>
        <v/>
      </c>
      <c r="H260" s="6" t="e">
        <f>INDEX('[1]RTO Register'!K$2:K$698,MATCH($A260,'[1]RTO Register'!$AA$2:$AA$698,0))</f>
        <v>#N/A</v>
      </c>
      <c r="I260" s="6" t="e">
        <f>INDEX('[1]RTO Register'!L$2:L$698,MATCH($A260,'[1]RTO Register'!$AA$2:$AA$698,0))</f>
        <v>#N/A</v>
      </c>
      <c r="J260" s="6" t="e">
        <f>INDEX('[1]RTO Register'!M$2:M$698,MATCH($A260,'[1]RTO Register'!$AA$2:$AA$698,0))</f>
        <v>#N/A</v>
      </c>
      <c r="K260" s="6" t="e">
        <f>INDEX('[1]RTO Register'!N$2:N$698,MATCH($A260,'[1]RTO Register'!$AA$2:$AA$698,0))</f>
        <v>#N/A</v>
      </c>
      <c r="L260" s="6" t="e">
        <f>INDEX('[1]RTO Register'!O$2:O$698,MATCH($A260,'[1]RTO Register'!$AA$2:$AA$698,0))</f>
        <v>#N/A</v>
      </c>
      <c r="M260" s="6" t="e">
        <f>INDEX('[1]RTO Register'!P$2:P$698,MATCH($A260,'[1]RTO Register'!$AA$2:$AA$698,0))</f>
        <v>#N/A</v>
      </c>
      <c r="N260" s="6" t="e">
        <f>INDEX('[1]RTO Register'!Q$2:Q$698,MATCH($A260,'[1]RTO Register'!$AA$2:$AA$698,0))</f>
        <v>#N/A</v>
      </c>
      <c r="O260" s="6" t="e">
        <f>INDEX('[1]RTO Register'!R$2:R$698,MATCH($A260,'[1]RTO Register'!$AA$2:$AA$698,0))</f>
        <v>#N/A</v>
      </c>
      <c r="P260" s="6" t="e">
        <f>INDEX('[1]RTO Register'!S$2:S$698,MATCH($A260,'[1]RTO Register'!$AA$2:$AA$698,0))</f>
        <v>#N/A</v>
      </c>
      <c r="Q260" s="6" t="e">
        <f t="shared" ref="Q260:Q323" si="9">MAX(H260:P260)</f>
        <v>#N/A</v>
      </c>
    </row>
    <row r="261" spans="6:17" x14ac:dyDescent="0.25">
      <c r="F261" s="1" t="str">
        <f t="shared" si="8"/>
        <v/>
      </c>
      <c r="G261" s="1" t="str">
        <f>IFERROR(IF(INDEX('[1]RTO Register'!AP$2:AP$698,MATCH($A261,'[1]RTO Register'!$AA$2:$AA$698,0))="Yes","School",""),"")</f>
        <v/>
      </c>
      <c r="H261" s="6" t="e">
        <f>INDEX('[1]RTO Register'!K$2:K$698,MATCH($A261,'[1]RTO Register'!$AA$2:$AA$698,0))</f>
        <v>#N/A</v>
      </c>
      <c r="I261" s="6" t="e">
        <f>INDEX('[1]RTO Register'!L$2:L$698,MATCH($A261,'[1]RTO Register'!$AA$2:$AA$698,0))</f>
        <v>#N/A</v>
      </c>
      <c r="J261" s="6" t="e">
        <f>INDEX('[1]RTO Register'!M$2:M$698,MATCH($A261,'[1]RTO Register'!$AA$2:$AA$698,0))</f>
        <v>#N/A</v>
      </c>
      <c r="K261" s="6" t="e">
        <f>INDEX('[1]RTO Register'!N$2:N$698,MATCH($A261,'[1]RTO Register'!$AA$2:$AA$698,0))</f>
        <v>#N/A</v>
      </c>
      <c r="L261" s="6" t="e">
        <f>INDEX('[1]RTO Register'!O$2:O$698,MATCH($A261,'[1]RTO Register'!$AA$2:$AA$698,0))</f>
        <v>#N/A</v>
      </c>
      <c r="M261" s="6" t="e">
        <f>INDEX('[1]RTO Register'!P$2:P$698,MATCH($A261,'[1]RTO Register'!$AA$2:$AA$698,0))</f>
        <v>#N/A</v>
      </c>
      <c r="N261" s="6" t="e">
        <f>INDEX('[1]RTO Register'!Q$2:Q$698,MATCH($A261,'[1]RTO Register'!$AA$2:$AA$698,0))</f>
        <v>#N/A</v>
      </c>
      <c r="O261" s="6" t="e">
        <f>INDEX('[1]RTO Register'!R$2:R$698,MATCH($A261,'[1]RTO Register'!$AA$2:$AA$698,0))</f>
        <v>#N/A</v>
      </c>
      <c r="P261" s="6" t="e">
        <f>INDEX('[1]RTO Register'!S$2:S$698,MATCH($A261,'[1]RTO Register'!$AA$2:$AA$698,0))</f>
        <v>#N/A</v>
      </c>
      <c r="Q261" s="6" t="e">
        <f t="shared" si="9"/>
        <v>#N/A</v>
      </c>
    </row>
    <row r="262" spans="6:17" x14ac:dyDescent="0.25">
      <c r="F262" s="1" t="str">
        <f t="shared" si="8"/>
        <v/>
      </c>
      <c r="G262" s="1" t="str">
        <f>IFERROR(IF(INDEX('[1]RTO Register'!AP$2:AP$698,MATCH($A262,'[1]RTO Register'!$AA$2:$AA$698,0))="Yes","School",""),"")</f>
        <v/>
      </c>
      <c r="H262" s="6" t="e">
        <f>INDEX('[1]RTO Register'!K$2:K$698,MATCH($A262,'[1]RTO Register'!$AA$2:$AA$698,0))</f>
        <v>#N/A</v>
      </c>
      <c r="I262" s="6" t="e">
        <f>INDEX('[1]RTO Register'!L$2:L$698,MATCH($A262,'[1]RTO Register'!$AA$2:$AA$698,0))</f>
        <v>#N/A</v>
      </c>
      <c r="J262" s="6" t="e">
        <f>INDEX('[1]RTO Register'!M$2:M$698,MATCH($A262,'[1]RTO Register'!$AA$2:$AA$698,0))</f>
        <v>#N/A</v>
      </c>
      <c r="K262" s="6" t="e">
        <f>INDEX('[1]RTO Register'!N$2:N$698,MATCH($A262,'[1]RTO Register'!$AA$2:$AA$698,0))</f>
        <v>#N/A</v>
      </c>
      <c r="L262" s="6" t="e">
        <f>INDEX('[1]RTO Register'!O$2:O$698,MATCH($A262,'[1]RTO Register'!$AA$2:$AA$698,0))</f>
        <v>#N/A</v>
      </c>
      <c r="M262" s="6" t="e">
        <f>INDEX('[1]RTO Register'!P$2:P$698,MATCH($A262,'[1]RTO Register'!$AA$2:$AA$698,0))</f>
        <v>#N/A</v>
      </c>
      <c r="N262" s="6" t="e">
        <f>INDEX('[1]RTO Register'!Q$2:Q$698,MATCH($A262,'[1]RTO Register'!$AA$2:$AA$698,0))</f>
        <v>#N/A</v>
      </c>
      <c r="O262" s="6" t="e">
        <f>INDEX('[1]RTO Register'!R$2:R$698,MATCH($A262,'[1]RTO Register'!$AA$2:$AA$698,0))</f>
        <v>#N/A</v>
      </c>
      <c r="P262" s="6" t="e">
        <f>INDEX('[1]RTO Register'!S$2:S$698,MATCH($A262,'[1]RTO Register'!$AA$2:$AA$698,0))</f>
        <v>#N/A</v>
      </c>
      <c r="Q262" s="6" t="e">
        <f t="shared" si="9"/>
        <v>#N/A</v>
      </c>
    </row>
    <row r="263" spans="6:17" x14ac:dyDescent="0.25">
      <c r="F263" s="1" t="str">
        <f t="shared" si="8"/>
        <v/>
      </c>
      <c r="G263" s="1" t="str">
        <f>IFERROR(IF(INDEX('[1]RTO Register'!AP$2:AP$698,MATCH($A263,'[1]RTO Register'!$AA$2:$AA$698,0))="Yes","School",""),"")</f>
        <v/>
      </c>
      <c r="H263" s="6" t="e">
        <f>INDEX('[1]RTO Register'!K$2:K$698,MATCH($A263,'[1]RTO Register'!$AA$2:$AA$698,0))</f>
        <v>#N/A</v>
      </c>
      <c r="I263" s="6" t="e">
        <f>INDEX('[1]RTO Register'!L$2:L$698,MATCH($A263,'[1]RTO Register'!$AA$2:$AA$698,0))</f>
        <v>#N/A</v>
      </c>
      <c r="J263" s="6" t="e">
        <f>INDEX('[1]RTO Register'!M$2:M$698,MATCH($A263,'[1]RTO Register'!$AA$2:$AA$698,0))</f>
        <v>#N/A</v>
      </c>
      <c r="K263" s="6" t="e">
        <f>INDEX('[1]RTO Register'!N$2:N$698,MATCH($A263,'[1]RTO Register'!$AA$2:$AA$698,0))</f>
        <v>#N/A</v>
      </c>
      <c r="L263" s="6" t="e">
        <f>INDEX('[1]RTO Register'!O$2:O$698,MATCH($A263,'[1]RTO Register'!$AA$2:$AA$698,0))</f>
        <v>#N/A</v>
      </c>
      <c r="M263" s="6" t="e">
        <f>INDEX('[1]RTO Register'!P$2:P$698,MATCH($A263,'[1]RTO Register'!$AA$2:$AA$698,0))</f>
        <v>#N/A</v>
      </c>
      <c r="N263" s="6" t="e">
        <f>INDEX('[1]RTO Register'!Q$2:Q$698,MATCH($A263,'[1]RTO Register'!$AA$2:$AA$698,0))</f>
        <v>#N/A</v>
      </c>
      <c r="O263" s="6" t="e">
        <f>INDEX('[1]RTO Register'!R$2:R$698,MATCH($A263,'[1]RTO Register'!$AA$2:$AA$698,0))</f>
        <v>#N/A</v>
      </c>
      <c r="P263" s="6" t="e">
        <f>INDEX('[1]RTO Register'!S$2:S$698,MATCH($A263,'[1]RTO Register'!$AA$2:$AA$698,0))</f>
        <v>#N/A</v>
      </c>
      <c r="Q263" s="6" t="e">
        <f t="shared" si="9"/>
        <v>#N/A</v>
      </c>
    </row>
    <row r="264" spans="6:17" x14ac:dyDescent="0.25">
      <c r="F264" s="1" t="str">
        <f t="shared" si="8"/>
        <v/>
      </c>
      <c r="G264" s="1" t="str">
        <f>IFERROR(IF(INDEX('[1]RTO Register'!AP$2:AP$698,MATCH($A264,'[1]RTO Register'!$AA$2:$AA$698,0))="Yes","School",""),"")</f>
        <v/>
      </c>
      <c r="H264" s="6" t="e">
        <f>INDEX('[1]RTO Register'!K$2:K$698,MATCH($A264,'[1]RTO Register'!$AA$2:$AA$698,0))</f>
        <v>#N/A</v>
      </c>
      <c r="I264" s="6" t="e">
        <f>INDEX('[1]RTO Register'!L$2:L$698,MATCH($A264,'[1]RTO Register'!$AA$2:$AA$698,0))</f>
        <v>#N/A</v>
      </c>
      <c r="J264" s="6" t="e">
        <f>INDEX('[1]RTO Register'!M$2:M$698,MATCH($A264,'[1]RTO Register'!$AA$2:$AA$698,0))</f>
        <v>#N/A</v>
      </c>
      <c r="K264" s="6" t="e">
        <f>INDEX('[1]RTO Register'!N$2:N$698,MATCH($A264,'[1]RTO Register'!$AA$2:$AA$698,0))</f>
        <v>#N/A</v>
      </c>
      <c r="L264" s="6" t="e">
        <f>INDEX('[1]RTO Register'!O$2:O$698,MATCH($A264,'[1]RTO Register'!$AA$2:$AA$698,0))</f>
        <v>#N/A</v>
      </c>
      <c r="M264" s="6" t="e">
        <f>INDEX('[1]RTO Register'!P$2:P$698,MATCH($A264,'[1]RTO Register'!$AA$2:$AA$698,0))</f>
        <v>#N/A</v>
      </c>
      <c r="N264" s="6" t="e">
        <f>INDEX('[1]RTO Register'!Q$2:Q$698,MATCH($A264,'[1]RTO Register'!$AA$2:$AA$698,0))</f>
        <v>#N/A</v>
      </c>
      <c r="O264" s="6" t="e">
        <f>INDEX('[1]RTO Register'!R$2:R$698,MATCH($A264,'[1]RTO Register'!$AA$2:$AA$698,0))</f>
        <v>#N/A</v>
      </c>
      <c r="P264" s="6" t="e">
        <f>INDEX('[1]RTO Register'!S$2:S$698,MATCH($A264,'[1]RTO Register'!$AA$2:$AA$698,0))</f>
        <v>#N/A</v>
      </c>
      <c r="Q264" s="6" t="e">
        <f t="shared" si="9"/>
        <v>#N/A</v>
      </c>
    </row>
    <row r="265" spans="6:17" x14ac:dyDescent="0.25">
      <c r="F265" s="1" t="str">
        <f t="shared" si="8"/>
        <v/>
      </c>
      <c r="G265" s="1" t="str">
        <f>IFERROR(IF(INDEX('[1]RTO Register'!AP$2:AP$698,MATCH($A265,'[1]RTO Register'!$AA$2:$AA$698,0))="Yes","School",""),"")</f>
        <v/>
      </c>
      <c r="H265" s="6" t="e">
        <f>INDEX('[1]RTO Register'!K$2:K$698,MATCH($A265,'[1]RTO Register'!$AA$2:$AA$698,0))</f>
        <v>#N/A</v>
      </c>
      <c r="I265" s="6" t="e">
        <f>INDEX('[1]RTO Register'!L$2:L$698,MATCH($A265,'[1]RTO Register'!$AA$2:$AA$698,0))</f>
        <v>#N/A</v>
      </c>
      <c r="J265" s="6" t="e">
        <f>INDEX('[1]RTO Register'!M$2:M$698,MATCH($A265,'[1]RTO Register'!$AA$2:$AA$698,0))</f>
        <v>#N/A</v>
      </c>
      <c r="K265" s="6" t="e">
        <f>INDEX('[1]RTO Register'!N$2:N$698,MATCH($A265,'[1]RTO Register'!$AA$2:$AA$698,0))</f>
        <v>#N/A</v>
      </c>
      <c r="L265" s="6" t="e">
        <f>INDEX('[1]RTO Register'!O$2:O$698,MATCH($A265,'[1]RTO Register'!$AA$2:$AA$698,0))</f>
        <v>#N/A</v>
      </c>
      <c r="M265" s="6" t="e">
        <f>INDEX('[1]RTO Register'!P$2:P$698,MATCH($A265,'[1]RTO Register'!$AA$2:$AA$698,0))</f>
        <v>#N/A</v>
      </c>
      <c r="N265" s="6" t="e">
        <f>INDEX('[1]RTO Register'!Q$2:Q$698,MATCH($A265,'[1]RTO Register'!$AA$2:$AA$698,0))</f>
        <v>#N/A</v>
      </c>
      <c r="O265" s="6" t="e">
        <f>INDEX('[1]RTO Register'!R$2:R$698,MATCH($A265,'[1]RTO Register'!$AA$2:$AA$698,0))</f>
        <v>#N/A</v>
      </c>
      <c r="P265" s="6" t="e">
        <f>INDEX('[1]RTO Register'!S$2:S$698,MATCH($A265,'[1]RTO Register'!$AA$2:$AA$698,0))</f>
        <v>#N/A</v>
      </c>
      <c r="Q265" s="6" t="e">
        <f t="shared" si="9"/>
        <v>#N/A</v>
      </c>
    </row>
    <row r="266" spans="6:17" x14ac:dyDescent="0.25">
      <c r="F266" s="1" t="str">
        <f t="shared" si="8"/>
        <v/>
      </c>
      <c r="G266" s="1" t="str">
        <f>IFERROR(IF(INDEX('[1]RTO Register'!AP$2:AP$698,MATCH($A266,'[1]RTO Register'!$AA$2:$AA$698,0))="Yes","School",""),"")</f>
        <v/>
      </c>
      <c r="H266" s="6" t="e">
        <f>INDEX('[1]RTO Register'!K$2:K$698,MATCH($A266,'[1]RTO Register'!$AA$2:$AA$698,0))</f>
        <v>#N/A</v>
      </c>
      <c r="I266" s="6" t="e">
        <f>INDEX('[1]RTO Register'!L$2:L$698,MATCH($A266,'[1]RTO Register'!$AA$2:$AA$698,0))</f>
        <v>#N/A</v>
      </c>
      <c r="J266" s="6" t="e">
        <f>INDEX('[1]RTO Register'!M$2:M$698,MATCH($A266,'[1]RTO Register'!$AA$2:$AA$698,0))</f>
        <v>#N/A</v>
      </c>
      <c r="K266" s="6" t="e">
        <f>INDEX('[1]RTO Register'!N$2:N$698,MATCH($A266,'[1]RTO Register'!$AA$2:$AA$698,0))</f>
        <v>#N/A</v>
      </c>
      <c r="L266" s="6" t="e">
        <f>INDEX('[1]RTO Register'!O$2:O$698,MATCH($A266,'[1]RTO Register'!$AA$2:$AA$698,0))</f>
        <v>#N/A</v>
      </c>
      <c r="M266" s="6" t="e">
        <f>INDEX('[1]RTO Register'!P$2:P$698,MATCH($A266,'[1]RTO Register'!$AA$2:$AA$698,0))</f>
        <v>#N/A</v>
      </c>
      <c r="N266" s="6" t="e">
        <f>INDEX('[1]RTO Register'!Q$2:Q$698,MATCH($A266,'[1]RTO Register'!$AA$2:$AA$698,0))</f>
        <v>#N/A</v>
      </c>
      <c r="O266" s="6" t="e">
        <f>INDEX('[1]RTO Register'!R$2:R$698,MATCH($A266,'[1]RTO Register'!$AA$2:$AA$698,0))</f>
        <v>#N/A</v>
      </c>
      <c r="P266" s="6" t="e">
        <f>INDEX('[1]RTO Register'!S$2:S$698,MATCH($A266,'[1]RTO Register'!$AA$2:$AA$698,0))</f>
        <v>#N/A</v>
      </c>
      <c r="Q266" s="6" t="e">
        <f t="shared" si="9"/>
        <v>#N/A</v>
      </c>
    </row>
    <row r="267" spans="6:17" x14ac:dyDescent="0.25">
      <c r="F267" s="1" t="str">
        <f t="shared" si="8"/>
        <v/>
      </c>
      <c r="G267" s="1" t="str">
        <f>IFERROR(IF(INDEX('[1]RTO Register'!AP$2:AP$698,MATCH($A267,'[1]RTO Register'!$AA$2:$AA$698,0))="Yes","School",""),"")</f>
        <v/>
      </c>
      <c r="H267" s="6" t="e">
        <f>INDEX('[1]RTO Register'!K$2:K$698,MATCH($A267,'[1]RTO Register'!$AA$2:$AA$698,0))</f>
        <v>#N/A</v>
      </c>
      <c r="I267" s="6" t="e">
        <f>INDEX('[1]RTO Register'!L$2:L$698,MATCH($A267,'[1]RTO Register'!$AA$2:$AA$698,0))</f>
        <v>#N/A</v>
      </c>
      <c r="J267" s="6" t="e">
        <f>INDEX('[1]RTO Register'!M$2:M$698,MATCH($A267,'[1]RTO Register'!$AA$2:$AA$698,0))</f>
        <v>#N/A</v>
      </c>
      <c r="K267" s="6" t="e">
        <f>INDEX('[1]RTO Register'!N$2:N$698,MATCH($A267,'[1]RTO Register'!$AA$2:$AA$698,0))</f>
        <v>#N/A</v>
      </c>
      <c r="L267" s="6" t="e">
        <f>INDEX('[1]RTO Register'!O$2:O$698,MATCH($A267,'[1]RTO Register'!$AA$2:$AA$698,0))</f>
        <v>#N/A</v>
      </c>
      <c r="M267" s="6" t="e">
        <f>INDEX('[1]RTO Register'!P$2:P$698,MATCH($A267,'[1]RTO Register'!$AA$2:$AA$698,0))</f>
        <v>#N/A</v>
      </c>
      <c r="N267" s="6" t="e">
        <f>INDEX('[1]RTO Register'!Q$2:Q$698,MATCH($A267,'[1]RTO Register'!$AA$2:$AA$698,0))</f>
        <v>#N/A</v>
      </c>
      <c r="O267" s="6" t="e">
        <f>INDEX('[1]RTO Register'!R$2:R$698,MATCH($A267,'[1]RTO Register'!$AA$2:$AA$698,0))</f>
        <v>#N/A</v>
      </c>
      <c r="P267" s="6" t="e">
        <f>INDEX('[1]RTO Register'!S$2:S$698,MATCH($A267,'[1]RTO Register'!$AA$2:$AA$698,0))</f>
        <v>#N/A</v>
      </c>
      <c r="Q267" s="6" t="e">
        <f t="shared" si="9"/>
        <v>#N/A</v>
      </c>
    </row>
    <row r="268" spans="6:17" x14ac:dyDescent="0.25">
      <c r="F268" s="1" t="str">
        <f t="shared" si="8"/>
        <v/>
      </c>
      <c r="G268" s="1" t="str">
        <f>IFERROR(IF(INDEX('[1]RTO Register'!AP$2:AP$698,MATCH($A268,'[1]RTO Register'!$AA$2:$AA$698,0))="Yes","School",""),"")</f>
        <v/>
      </c>
      <c r="H268" s="6" t="e">
        <f>INDEX('[1]RTO Register'!K$2:K$698,MATCH($A268,'[1]RTO Register'!$AA$2:$AA$698,0))</f>
        <v>#N/A</v>
      </c>
      <c r="I268" s="6" t="e">
        <f>INDEX('[1]RTO Register'!L$2:L$698,MATCH($A268,'[1]RTO Register'!$AA$2:$AA$698,0))</f>
        <v>#N/A</v>
      </c>
      <c r="J268" s="6" t="e">
        <f>INDEX('[1]RTO Register'!M$2:M$698,MATCH($A268,'[1]RTO Register'!$AA$2:$AA$698,0))</f>
        <v>#N/A</v>
      </c>
      <c r="K268" s="6" t="e">
        <f>INDEX('[1]RTO Register'!N$2:N$698,MATCH($A268,'[1]RTO Register'!$AA$2:$AA$698,0))</f>
        <v>#N/A</v>
      </c>
      <c r="L268" s="6" t="e">
        <f>INDEX('[1]RTO Register'!O$2:O$698,MATCH($A268,'[1]RTO Register'!$AA$2:$AA$698,0))</f>
        <v>#N/A</v>
      </c>
      <c r="M268" s="6" t="e">
        <f>INDEX('[1]RTO Register'!P$2:P$698,MATCH($A268,'[1]RTO Register'!$AA$2:$AA$698,0))</f>
        <v>#N/A</v>
      </c>
      <c r="N268" s="6" t="e">
        <f>INDEX('[1]RTO Register'!Q$2:Q$698,MATCH($A268,'[1]RTO Register'!$AA$2:$AA$698,0))</f>
        <v>#N/A</v>
      </c>
      <c r="O268" s="6" t="e">
        <f>INDEX('[1]RTO Register'!R$2:R$698,MATCH($A268,'[1]RTO Register'!$AA$2:$AA$698,0))</f>
        <v>#N/A</v>
      </c>
      <c r="P268" s="6" t="e">
        <f>INDEX('[1]RTO Register'!S$2:S$698,MATCH($A268,'[1]RTO Register'!$AA$2:$AA$698,0))</f>
        <v>#N/A</v>
      </c>
      <c r="Q268" s="6" t="e">
        <f t="shared" si="9"/>
        <v>#N/A</v>
      </c>
    </row>
    <row r="269" spans="6:17" x14ac:dyDescent="0.25">
      <c r="F269" s="1" t="str">
        <f t="shared" si="8"/>
        <v/>
      </c>
      <c r="G269" s="1" t="str">
        <f>IFERROR(IF(INDEX('[1]RTO Register'!AP$2:AP$698,MATCH($A269,'[1]RTO Register'!$AA$2:$AA$698,0))="Yes","School",""),"")</f>
        <v/>
      </c>
      <c r="H269" s="6" t="e">
        <f>INDEX('[1]RTO Register'!K$2:K$698,MATCH($A269,'[1]RTO Register'!$AA$2:$AA$698,0))</f>
        <v>#N/A</v>
      </c>
      <c r="I269" s="6" t="e">
        <f>INDEX('[1]RTO Register'!L$2:L$698,MATCH($A269,'[1]RTO Register'!$AA$2:$AA$698,0))</f>
        <v>#N/A</v>
      </c>
      <c r="J269" s="6" t="e">
        <f>INDEX('[1]RTO Register'!M$2:M$698,MATCH($A269,'[1]RTO Register'!$AA$2:$AA$698,0))</f>
        <v>#N/A</v>
      </c>
      <c r="K269" s="6" t="e">
        <f>INDEX('[1]RTO Register'!N$2:N$698,MATCH($A269,'[1]RTO Register'!$AA$2:$AA$698,0))</f>
        <v>#N/A</v>
      </c>
      <c r="L269" s="6" t="e">
        <f>INDEX('[1]RTO Register'!O$2:O$698,MATCH($A269,'[1]RTO Register'!$AA$2:$AA$698,0))</f>
        <v>#N/A</v>
      </c>
      <c r="M269" s="6" t="e">
        <f>INDEX('[1]RTO Register'!P$2:P$698,MATCH($A269,'[1]RTO Register'!$AA$2:$AA$698,0))</f>
        <v>#N/A</v>
      </c>
      <c r="N269" s="6" t="e">
        <f>INDEX('[1]RTO Register'!Q$2:Q$698,MATCH($A269,'[1]RTO Register'!$AA$2:$AA$698,0))</f>
        <v>#N/A</v>
      </c>
      <c r="O269" s="6" t="e">
        <f>INDEX('[1]RTO Register'!R$2:R$698,MATCH($A269,'[1]RTO Register'!$AA$2:$AA$698,0))</f>
        <v>#N/A</v>
      </c>
      <c r="P269" s="6" t="e">
        <f>INDEX('[1]RTO Register'!S$2:S$698,MATCH($A269,'[1]RTO Register'!$AA$2:$AA$698,0))</f>
        <v>#N/A</v>
      </c>
      <c r="Q269" s="6" t="e">
        <f t="shared" si="9"/>
        <v>#N/A</v>
      </c>
    </row>
    <row r="270" spans="6:17" x14ac:dyDescent="0.25">
      <c r="F270" s="1" t="str">
        <f t="shared" si="8"/>
        <v/>
      </c>
      <c r="G270" s="1" t="str">
        <f>IFERROR(IF(INDEX('[1]RTO Register'!AP$2:AP$698,MATCH($A270,'[1]RTO Register'!$AA$2:$AA$698,0))="Yes","School",""),"")</f>
        <v/>
      </c>
      <c r="H270" s="6" t="e">
        <f>INDEX('[1]RTO Register'!K$2:K$698,MATCH($A270,'[1]RTO Register'!$AA$2:$AA$698,0))</f>
        <v>#N/A</v>
      </c>
      <c r="I270" s="6" t="e">
        <f>INDEX('[1]RTO Register'!L$2:L$698,MATCH($A270,'[1]RTO Register'!$AA$2:$AA$698,0))</f>
        <v>#N/A</v>
      </c>
      <c r="J270" s="6" t="e">
        <f>INDEX('[1]RTO Register'!M$2:M$698,MATCH($A270,'[1]RTO Register'!$AA$2:$AA$698,0))</f>
        <v>#N/A</v>
      </c>
      <c r="K270" s="6" t="e">
        <f>INDEX('[1]RTO Register'!N$2:N$698,MATCH($A270,'[1]RTO Register'!$AA$2:$AA$698,0))</f>
        <v>#N/A</v>
      </c>
      <c r="L270" s="6" t="e">
        <f>INDEX('[1]RTO Register'!O$2:O$698,MATCH($A270,'[1]RTO Register'!$AA$2:$AA$698,0))</f>
        <v>#N/A</v>
      </c>
      <c r="M270" s="6" t="e">
        <f>INDEX('[1]RTO Register'!P$2:P$698,MATCH($A270,'[1]RTO Register'!$AA$2:$AA$698,0))</f>
        <v>#N/A</v>
      </c>
      <c r="N270" s="6" t="e">
        <f>INDEX('[1]RTO Register'!Q$2:Q$698,MATCH($A270,'[1]RTO Register'!$AA$2:$AA$698,0))</f>
        <v>#N/A</v>
      </c>
      <c r="O270" s="6" t="e">
        <f>INDEX('[1]RTO Register'!R$2:R$698,MATCH($A270,'[1]RTO Register'!$AA$2:$AA$698,0))</f>
        <v>#N/A</v>
      </c>
      <c r="P270" s="6" t="e">
        <f>INDEX('[1]RTO Register'!S$2:S$698,MATCH($A270,'[1]RTO Register'!$AA$2:$AA$698,0))</f>
        <v>#N/A</v>
      </c>
      <c r="Q270" s="6" t="e">
        <f t="shared" si="9"/>
        <v>#N/A</v>
      </c>
    </row>
    <row r="271" spans="6:17" x14ac:dyDescent="0.25">
      <c r="F271" s="1" t="str">
        <f t="shared" si="8"/>
        <v/>
      </c>
      <c r="G271" s="1" t="str">
        <f>IFERROR(IF(INDEX('[1]RTO Register'!AP$2:AP$698,MATCH($A271,'[1]RTO Register'!$AA$2:$AA$698,0))="Yes","School",""),"")</f>
        <v/>
      </c>
      <c r="H271" s="6" t="e">
        <f>INDEX('[1]RTO Register'!K$2:K$698,MATCH($A271,'[1]RTO Register'!$AA$2:$AA$698,0))</f>
        <v>#N/A</v>
      </c>
      <c r="I271" s="6" t="e">
        <f>INDEX('[1]RTO Register'!L$2:L$698,MATCH($A271,'[1]RTO Register'!$AA$2:$AA$698,0))</f>
        <v>#N/A</v>
      </c>
      <c r="J271" s="6" t="e">
        <f>INDEX('[1]RTO Register'!M$2:M$698,MATCH($A271,'[1]RTO Register'!$AA$2:$AA$698,0))</f>
        <v>#N/A</v>
      </c>
      <c r="K271" s="6" t="e">
        <f>INDEX('[1]RTO Register'!N$2:N$698,MATCH($A271,'[1]RTO Register'!$AA$2:$AA$698,0))</f>
        <v>#N/A</v>
      </c>
      <c r="L271" s="6" t="e">
        <f>INDEX('[1]RTO Register'!O$2:O$698,MATCH($A271,'[1]RTO Register'!$AA$2:$AA$698,0))</f>
        <v>#N/A</v>
      </c>
      <c r="M271" s="6" t="e">
        <f>INDEX('[1]RTO Register'!P$2:P$698,MATCH($A271,'[1]RTO Register'!$AA$2:$AA$698,0))</f>
        <v>#N/A</v>
      </c>
      <c r="N271" s="6" t="e">
        <f>INDEX('[1]RTO Register'!Q$2:Q$698,MATCH($A271,'[1]RTO Register'!$AA$2:$AA$698,0))</f>
        <v>#N/A</v>
      </c>
      <c r="O271" s="6" t="e">
        <f>INDEX('[1]RTO Register'!R$2:R$698,MATCH($A271,'[1]RTO Register'!$AA$2:$AA$698,0))</f>
        <v>#N/A</v>
      </c>
      <c r="P271" s="6" t="e">
        <f>INDEX('[1]RTO Register'!S$2:S$698,MATCH($A271,'[1]RTO Register'!$AA$2:$AA$698,0))</f>
        <v>#N/A</v>
      </c>
      <c r="Q271" s="6" t="e">
        <f t="shared" si="9"/>
        <v>#N/A</v>
      </c>
    </row>
    <row r="272" spans="6:17" x14ac:dyDescent="0.25">
      <c r="F272" s="1" t="str">
        <f t="shared" si="8"/>
        <v/>
      </c>
      <c r="G272" s="1" t="str">
        <f>IFERROR(IF(INDEX('[1]RTO Register'!AP$2:AP$698,MATCH($A272,'[1]RTO Register'!$AA$2:$AA$698,0))="Yes","School",""),"")</f>
        <v/>
      </c>
      <c r="H272" s="6" t="e">
        <f>INDEX('[1]RTO Register'!K$2:K$698,MATCH($A272,'[1]RTO Register'!$AA$2:$AA$698,0))</f>
        <v>#N/A</v>
      </c>
      <c r="I272" s="6" t="e">
        <f>INDEX('[1]RTO Register'!L$2:L$698,MATCH($A272,'[1]RTO Register'!$AA$2:$AA$698,0))</f>
        <v>#N/A</v>
      </c>
      <c r="J272" s="6" t="e">
        <f>INDEX('[1]RTO Register'!M$2:M$698,MATCH($A272,'[1]RTO Register'!$AA$2:$AA$698,0))</f>
        <v>#N/A</v>
      </c>
      <c r="K272" s="6" t="e">
        <f>INDEX('[1]RTO Register'!N$2:N$698,MATCH($A272,'[1]RTO Register'!$AA$2:$AA$698,0))</f>
        <v>#N/A</v>
      </c>
      <c r="L272" s="6" t="e">
        <f>INDEX('[1]RTO Register'!O$2:O$698,MATCH($A272,'[1]RTO Register'!$AA$2:$AA$698,0))</f>
        <v>#N/A</v>
      </c>
      <c r="M272" s="6" t="e">
        <f>INDEX('[1]RTO Register'!P$2:P$698,MATCH($A272,'[1]RTO Register'!$AA$2:$AA$698,0))</f>
        <v>#N/A</v>
      </c>
      <c r="N272" s="6" t="e">
        <f>INDEX('[1]RTO Register'!Q$2:Q$698,MATCH($A272,'[1]RTO Register'!$AA$2:$AA$698,0))</f>
        <v>#N/A</v>
      </c>
      <c r="O272" s="6" t="e">
        <f>INDEX('[1]RTO Register'!R$2:R$698,MATCH($A272,'[1]RTO Register'!$AA$2:$AA$698,0))</f>
        <v>#N/A</v>
      </c>
      <c r="P272" s="6" t="e">
        <f>INDEX('[1]RTO Register'!S$2:S$698,MATCH($A272,'[1]RTO Register'!$AA$2:$AA$698,0))</f>
        <v>#N/A</v>
      </c>
      <c r="Q272" s="6" t="e">
        <f t="shared" si="9"/>
        <v>#N/A</v>
      </c>
    </row>
    <row r="273" spans="6:17" x14ac:dyDescent="0.25">
      <c r="F273" s="1" t="str">
        <f t="shared" si="8"/>
        <v/>
      </c>
      <c r="G273" s="1" t="str">
        <f>IFERROR(IF(INDEX('[1]RTO Register'!AP$2:AP$698,MATCH($A273,'[1]RTO Register'!$AA$2:$AA$698,0))="Yes","School",""),"")</f>
        <v/>
      </c>
      <c r="H273" s="6" t="e">
        <f>INDEX('[1]RTO Register'!K$2:K$698,MATCH($A273,'[1]RTO Register'!$AA$2:$AA$698,0))</f>
        <v>#N/A</v>
      </c>
      <c r="I273" s="6" t="e">
        <f>INDEX('[1]RTO Register'!L$2:L$698,MATCH($A273,'[1]RTO Register'!$AA$2:$AA$698,0))</f>
        <v>#N/A</v>
      </c>
      <c r="J273" s="6" t="e">
        <f>INDEX('[1]RTO Register'!M$2:M$698,MATCH($A273,'[1]RTO Register'!$AA$2:$AA$698,0))</f>
        <v>#N/A</v>
      </c>
      <c r="K273" s="6" t="e">
        <f>INDEX('[1]RTO Register'!N$2:N$698,MATCH($A273,'[1]RTO Register'!$AA$2:$AA$698,0))</f>
        <v>#N/A</v>
      </c>
      <c r="L273" s="6" t="e">
        <f>INDEX('[1]RTO Register'!O$2:O$698,MATCH($A273,'[1]RTO Register'!$AA$2:$AA$698,0))</f>
        <v>#N/A</v>
      </c>
      <c r="M273" s="6" t="e">
        <f>INDEX('[1]RTO Register'!P$2:P$698,MATCH($A273,'[1]RTO Register'!$AA$2:$AA$698,0))</f>
        <v>#N/A</v>
      </c>
      <c r="N273" s="6" t="e">
        <f>INDEX('[1]RTO Register'!Q$2:Q$698,MATCH($A273,'[1]RTO Register'!$AA$2:$AA$698,0))</f>
        <v>#N/A</v>
      </c>
      <c r="O273" s="6" t="e">
        <f>INDEX('[1]RTO Register'!R$2:R$698,MATCH($A273,'[1]RTO Register'!$AA$2:$AA$698,0))</f>
        <v>#N/A</v>
      </c>
      <c r="P273" s="6" t="e">
        <f>INDEX('[1]RTO Register'!S$2:S$698,MATCH($A273,'[1]RTO Register'!$AA$2:$AA$698,0))</f>
        <v>#N/A</v>
      </c>
      <c r="Q273" s="6" t="e">
        <f t="shared" si="9"/>
        <v>#N/A</v>
      </c>
    </row>
    <row r="274" spans="6:17" x14ac:dyDescent="0.25">
      <c r="F274" s="1" t="str">
        <f t="shared" si="8"/>
        <v/>
      </c>
      <c r="G274" s="1" t="str">
        <f>IFERROR(IF(INDEX('[1]RTO Register'!AP$2:AP$698,MATCH($A274,'[1]RTO Register'!$AA$2:$AA$698,0))="Yes","School",""),"")</f>
        <v/>
      </c>
      <c r="H274" s="6" t="e">
        <f>INDEX('[1]RTO Register'!K$2:K$698,MATCH($A274,'[1]RTO Register'!$AA$2:$AA$698,0))</f>
        <v>#N/A</v>
      </c>
      <c r="I274" s="6" t="e">
        <f>INDEX('[1]RTO Register'!L$2:L$698,MATCH($A274,'[1]RTO Register'!$AA$2:$AA$698,0))</f>
        <v>#N/A</v>
      </c>
      <c r="J274" s="6" t="e">
        <f>INDEX('[1]RTO Register'!M$2:M$698,MATCH($A274,'[1]RTO Register'!$AA$2:$AA$698,0))</f>
        <v>#N/A</v>
      </c>
      <c r="K274" s="6" t="e">
        <f>INDEX('[1]RTO Register'!N$2:N$698,MATCH($A274,'[1]RTO Register'!$AA$2:$AA$698,0))</f>
        <v>#N/A</v>
      </c>
      <c r="L274" s="6" t="e">
        <f>INDEX('[1]RTO Register'!O$2:O$698,MATCH($A274,'[1]RTO Register'!$AA$2:$AA$698,0))</f>
        <v>#N/A</v>
      </c>
      <c r="M274" s="6" t="e">
        <f>INDEX('[1]RTO Register'!P$2:P$698,MATCH($A274,'[1]RTO Register'!$AA$2:$AA$698,0))</f>
        <v>#N/A</v>
      </c>
      <c r="N274" s="6" t="e">
        <f>INDEX('[1]RTO Register'!Q$2:Q$698,MATCH($A274,'[1]RTO Register'!$AA$2:$AA$698,0))</f>
        <v>#N/A</v>
      </c>
      <c r="O274" s="6" t="e">
        <f>INDEX('[1]RTO Register'!R$2:R$698,MATCH($A274,'[1]RTO Register'!$AA$2:$AA$698,0))</f>
        <v>#N/A</v>
      </c>
      <c r="P274" s="6" t="e">
        <f>INDEX('[1]RTO Register'!S$2:S$698,MATCH($A274,'[1]RTO Register'!$AA$2:$AA$698,0))</f>
        <v>#N/A</v>
      </c>
      <c r="Q274" s="6" t="e">
        <f t="shared" si="9"/>
        <v>#N/A</v>
      </c>
    </row>
    <row r="275" spans="6:17" x14ac:dyDescent="0.25">
      <c r="F275" s="1" t="str">
        <f t="shared" si="8"/>
        <v/>
      </c>
      <c r="G275" s="1" t="str">
        <f>IFERROR(IF(INDEX('[1]RTO Register'!AP$2:AP$698,MATCH($A275,'[1]RTO Register'!$AA$2:$AA$698,0))="Yes","School",""),"")</f>
        <v/>
      </c>
      <c r="H275" s="6" t="e">
        <f>INDEX('[1]RTO Register'!K$2:K$698,MATCH($A275,'[1]RTO Register'!$AA$2:$AA$698,0))</f>
        <v>#N/A</v>
      </c>
      <c r="I275" s="6" t="e">
        <f>INDEX('[1]RTO Register'!L$2:L$698,MATCH($A275,'[1]RTO Register'!$AA$2:$AA$698,0))</f>
        <v>#N/A</v>
      </c>
      <c r="J275" s="6" t="e">
        <f>INDEX('[1]RTO Register'!M$2:M$698,MATCH($A275,'[1]RTO Register'!$AA$2:$AA$698,0))</f>
        <v>#N/A</v>
      </c>
      <c r="K275" s="6" t="e">
        <f>INDEX('[1]RTO Register'!N$2:N$698,MATCH($A275,'[1]RTO Register'!$AA$2:$AA$698,0))</f>
        <v>#N/A</v>
      </c>
      <c r="L275" s="6" t="e">
        <f>INDEX('[1]RTO Register'!O$2:O$698,MATCH($A275,'[1]RTO Register'!$AA$2:$AA$698,0))</f>
        <v>#N/A</v>
      </c>
      <c r="M275" s="6" t="e">
        <f>INDEX('[1]RTO Register'!P$2:P$698,MATCH($A275,'[1]RTO Register'!$AA$2:$AA$698,0))</f>
        <v>#N/A</v>
      </c>
      <c r="N275" s="6" t="e">
        <f>INDEX('[1]RTO Register'!Q$2:Q$698,MATCH($A275,'[1]RTO Register'!$AA$2:$AA$698,0))</f>
        <v>#N/A</v>
      </c>
      <c r="O275" s="6" t="e">
        <f>INDEX('[1]RTO Register'!R$2:R$698,MATCH($A275,'[1]RTO Register'!$AA$2:$AA$698,0))</f>
        <v>#N/A</v>
      </c>
      <c r="P275" s="6" t="e">
        <f>INDEX('[1]RTO Register'!S$2:S$698,MATCH($A275,'[1]RTO Register'!$AA$2:$AA$698,0))</f>
        <v>#N/A</v>
      </c>
      <c r="Q275" s="6" t="e">
        <f t="shared" si="9"/>
        <v>#N/A</v>
      </c>
    </row>
    <row r="276" spans="6:17" x14ac:dyDescent="0.25">
      <c r="F276" s="1" t="str">
        <f t="shared" si="8"/>
        <v/>
      </c>
      <c r="G276" s="1" t="str">
        <f>IFERROR(IF(INDEX('[1]RTO Register'!AP$2:AP$698,MATCH($A276,'[1]RTO Register'!$AA$2:$AA$698,0))="Yes","School",""),"")</f>
        <v/>
      </c>
      <c r="H276" s="6" t="e">
        <f>INDEX('[1]RTO Register'!K$2:K$698,MATCH($A276,'[1]RTO Register'!$AA$2:$AA$698,0))</f>
        <v>#N/A</v>
      </c>
      <c r="I276" s="6" t="e">
        <f>INDEX('[1]RTO Register'!L$2:L$698,MATCH($A276,'[1]RTO Register'!$AA$2:$AA$698,0))</f>
        <v>#N/A</v>
      </c>
      <c r="J276" s="6" t="e">
        <f>INDEX('[1]RTO Register'!M$2:M$698,MATCH($A276,'[1]RTO Register'!$AA$2:$AA$698,0))</f>
        <v>#N/A</v>
      </c>
      <c r="K276" s="6" t="e">
        <f>INDEX('[1]RTO Register'!N$2:N$698,MATCH($A276,'[1]RTO Register'!$AA$2:$AA$698,0))</f>
        <v>#N/A</v>
      </c>
      <c r="L276" s="6" t="e">
        <f>INDEX('[1]RTO Register'!O$2:O$698,MATCH($A276,'[1]RTO Register'!$AA$2:$AA$698,0))</f>
        <v>#N/A</v>
      </c>
      <c r="M276" s="6" t="e">
        <f>INDEX('[1]RTO Register'!P$2:P$698,MATCH($A276,'[1]RTO Register'!$AA$2:$AA$698,0))</f>
        <v>#N/A</v>
      </c>
      <c r="N276" s="6" t="e">
        <f>INDEX('[1]RTO Register'!Q$2:Q$698,MATCH($A276,'[1]RTO Register'!$AA$2:$AA$698,0))</f>
        <v>#N/A</v>
      </c>
      <c r="O276" s="6" t="e">
        <f>INDEX('[1]RTO Register'!R$2:R$698,MATCH($A276,'[1]RTO Register'!$AA$2:$AA$698,0))</f>
        <v>#N/A</v>
      </c>
      <c r="P276" s="6" t="e">
        <f>INDEX('[1]RTO Register'!S$2:S$698,MATCH($A276,'[1]RTO Register'!$AA$2:$AA$698,0))</f>
        <v>#N/A</v>
      </c>
      <c r="Q276" s="6" t="e">
        <f t="shared" si="9"/>
        <v>#N/A</v>
      </c>
    </row>
    <row r="277" spans="6:17" x14ac:dyDescent="0.25">
      <c r="F277" s="1" t="str">
        <f t="shared" si="8"/>
        <v/>
      </c>
      <c r="G277" s="1" t="str">
        <f>IFERROR(IF(INDEX('[1]RTO Register'!AP$2:AP$698,MATCH($A277,'[1]RTO Register'!$AA$2:$AA$698,0))="Yes","School",""),"")</f>
        <v/>
      </c>
      <c r="H277" s="6" t="e">
        <f>INDEX('[1]RTO Register'!K$2:K$698,MATCH($A277,'[1]RTO Register'!$AA$2:$AA$698,0))</f>
        <v>#N/A</v>
      </c>
      <c r="I277" s="6" t="e">
        <f>INDEX('[1]RTO Register'!L$2:L$698,MATCH($A277,'[1]RTO Register'!$AA$2:$AA$698,0))</f>
        <v>#N/A</v>
      </c>
      <c r="J277" s="6" t="e">
        <f>INDEX('[1]RTO Register'!M$2:M$698,MATCH($A277,'[1]RTO Register'!$AA$2:$AA$698,0))</f>
        <v>#N/A</v>
      </c>
      <c r="K277" s="6" t="e">
        <f>INDEX('[1]RTO Register'!N$2:N$698,MATCH($A277,'[1]RTO Register'!$AA$2:$AA$698,0))</f>
        <v>#N/A</v>
      </c>
      <c r="L277" s="6" t="e">
        <f>INDEX('[1]RTO Register'!O$2:O$698,MATCH($A277,'[1]RTO Register'!$AA$2:$AA$698,0))</f>
        <v>#N/A</v>
      </c>
      <c r="M277" s="6" t="e">
        <f>INDEX('[1]RTO Register'!P$2:P$698,MATCH($A277,'[1]RTO Register'!$AA$2:$AA$698,0))</f>
        <v>#N/A</v>
      </c>
      <c r="N277" s="6" t="e">
        <f>INDEX('[1]RTO Register'!Q$2:Q$698,MATCH($A277,'[1]RTO Register'!$AA$2:$AA$698,0))</f>
        <v>#N/A</v>
      </c>
      <c r="O277" s="6" t="e">
        <f>INDEX('[1]RTO Register'!R$2:R$698,MATCH($A277,'[1]RTO Register'!$AA$2:$AA$698,0))</f>
        <v>#N/A</v>
      </c>
      <c r="P277" s="6" t="e">
        <f>INDEX('[1]RTO Register'!S$2:S$698,MATCH($A277,'[1]RTO Register'!$AA$2:$AA$698,0))</f>
        <v>#N/A</v>
      </c>
      <c r="Q277" s="6" t="e">
        <f t="shared" si="9"/>
        <v>#N/A</v>
      </c>
    </row>
    <row r="278" spans="6:17" x14ac:dyDescent="0.25">
      <c r="F278" s="1" t="str">
        <f t="shared" si="8"/>
        <v/>
      </c>
      <c r="G278" s="1" t="str">
        <f>IFERROR(IF(INDEX('[1]RTO Register'!AP$2:AP$698,MATCH($A278,'[1]RTO Register'!$AA$2:$AA$698,0))="Yes","School",""),"")</f>
        <v/>
      </c>
      <c r="H278" s="6" t="e">
        <f>INDEX('[1]RTO Register'!K$2:K$698,MATCH($A278,'[1]RTO Register'!$AA$2:$AA$698,0))</f>
        <v>#N/A</v>
      </c>
      <c r="I278" s="6" t="e">
        <f>INDEX('[1]RTO Register'!L$2:L$698,MATCH($A278,'[1]RTO Register'!$AA$2:$AA$698,0))</f>
        <v>#N/A</v>
      </c>
      <c r="J278" s="6" t="e">
        <f>INDEX('[1]RTO Register'!M$2:M$698,MATCH($A278,'[1]RTO Register'!$AA$2:$AA$698,0))</f>
        <v>#N/A</v>
      </c>
      <c r="K278" s="6" t="e">
        <f>INDEX('[1]RTO Register'!N$2:N$698,MATCH($A278,'[1]RTO Register'!$AA$2:$AA$698,0))</f>
        <v>#N/A</v>
      </c>
      <c r="L278" s="6" t="e">
        <f>INDEX('[1]RTO Register'!O$2:O$698,MATCH($A278,'[1]RTO Register'!$AA$2:$AA$698,0))</f>
        <v>#N/A</v>
      </c>
      <c r="M278" s="6" t="e">
        <f>INDEX('[1]RTO Register'!P$2:P$698,MATCH($A278,'[1]RTO Register'!$AA$2:$AA$698,0))</f>
        <v>#N/A</v>
      </c>
      <c r="N278" s="6" t="e">
        <f>INDEX('[1]RTO Register'!Q$2:Q$698,MATCH($A278,'[1]RTO Register'!$AA$2:$AA$698,0))</f>
        <v>#N/A</v>
      </c>
      <c r="O278" s="6" t="e">
        <f>INDEX('[1]RTO Register'!R$2:R$698,MATCH($A278,'[1]RTO Register'!$AA$2:$AA$698,0))</f>
        <v>#N/A</v>
      </c>
      <c r="P278" s="6" t="e">
        <f>INDEX('[1]RTO Register'!S$2:S$698,MATCH($A278,'[1]RTO Register'!$AA$2:$AA$698,0))</f>
        <v>#N/A</v>
      </c>
      <c r="Q278" s="6" t="e">
        <f t="shared" si="9"/>
        <v>#N/A</v>
      </c>
    </row>
    <row r="279" spans="6:17" x14ac:dyDescent="0.25">
      <c r="F279" s="1" t="str">
        <f t="shared" si="8"/>
        <v/>
      </c>
      <c r="G279" s="1" t="str">
        <f>IFERROR(IF(INDEX('[1]RTO Register'!AP$2:AP$698,MATCH($A279,'[1]RTO Register'!$AA$2:$AA$698,0))="Yes","School",""),"")</f>
        <v/>
      </c>
      <c r="H279" s="6" t="e">
        <f>INDEX('[1]RTO Register'!K$2:K$698,MATCH($A279,'[1]RTO Register'!$AA$2:$AA$698,0))</f>
        <v>#N/A</v>
      </c>
      <c r="I279" s="6" t="e">
        <f>INDEX('[1]RTO Register'!L$2:L$698,MATCH($A279,'[1]RTO Register'!$AA$2:$AA$698,0))</f>
        <v>#N/A</v>
      </c>
      <c r="J279" s="6" t="e">
        <f>INDEX('[1]RTO Register'!M$2:M$698,MATCH($A279,'[1]RTO Register'!$AA$2:$AA$698,0))</f>
        <v>#N/A</v>
      </c>
      <c r="K279" s="6" t="e">
        <f>INDEX('[1]RTO Register'!N$2:N$698,MATCH($A279,'[1]RTO Register'!$AA$2:$AA$698,0))</f>
        <v>#N/A</v>
      </c>
      <c r="L279" s="6" t="e">
        <f>INDEX('[1]RTO Register'!O$2:O$698,MATCH($A279,'[1]RTO Register'!$AA$2:$AA$698,0))</f>
        <v>#N/A</v>
      </c>
      <c r="M279" s="6" t="e">
        <f>INDEX('[1]RTO Register'!P$2:P$698,MATCH($A279,'[1]RTO Register'!$AA$2:$AA$698,0))</f>
        <v>#N/A</v>
      </c>
      <c r="N279" s="6" t="e">
        <f>INDEX('[1]RTO Register'!Q$2:Q$698,MATCH($A279,'[1]RTO Register'!$AA$2:$AA$698,0))</f>
        <v>#N/A</v>
      </c>
      <c r="O279" s="6" t="e">
        <f>INDEX('[1]RTO Register'!R$2:R$698,MATCH($A279,'[1]RTO Register'!$AA$2:$AA$698,0))</f>
        <v>#N/A</v>
      </c>
      <c r="P279" s="6" t="e">
        <f>INDEX('[1]RTO Register'!S$2:S$698,MATCH($A279,'[1]RTO Register'!$AA$2:$AA$698,0))</f>
        <v>#N/A</v>
      </c>
      <c r="Q279" s="6" t="e">
        <f t="shared" si="9"/>
        <v>#N/A</v>
      </c>
    </row>
    <row r="280" spans="6:17" x14ac:dyDescent="0.25">
      <c r="F280" s="1" t="str">
        <f t="shared" si="8"/>
        <v/>
      </c>
      <c r="G280" s="1" t="str">
        <f>IFERROR(IF(INDEX('[1]RTO Register'!AP$2:AP$698,MATCH($A280,'[1]RTO Register'!$AA$2:$AA$698,0))="Yes","School",""),"")</f>
        <v/>
      </c>
      <c r="H280" s="6" t="e">
        <f>INDEX('[1]RTO Register'!K$2:K$698,MATCH($A280,'[1]RTO Register'!$AA$2:$AA$698,0))</f>
        <v>#N/A</v>
      </c>
      <c r="I280" s="6" t="e">
        <f>INDEX('[1]RTO Register'!L$2:L$698,MATCH($A280,'[1]RTO Register'!$AA$2:$AA$698,0))</f>
        <v>#N/A</v>
      </c>
      <c r="J280" s="6" t="e">
        <f>INDEX('[1]RTO Register'!M$2:M$698,MATCH($A280,'[1]RTO Register'!$AA$2:$AA$698,0))</f>
        <v>#N/A</v>
      </c>
      <c r="K280" s="6" t="e">
        <f>INDEX('[1]RTO Register'!N$2:N$698,MATCH($A280,'[1]RTO Register'!$AA$2:$AA$698,0))</f>
        <v>#N/A</v>
      </c>
      <c r="L280" s="6" t="e">
        <f>INDEX('[1]RTO Register'!O$2:O$698,MATCH($A280,'[1]RTO Register'!$AA$2:$AA$698,0))</f>
        <v>#N/A</v>
      </c>
      <c r="M280" s="6" t="e">
        <f>INDEX('[1]RTO Register'!P$2:P$698,MATCH($A280,'[1]RTO Register'!$AA$2:$AA$698,0))</f>
        <v>#N/A</v>
      </c>
      <c r="N280" s="6" t="e">
        <f>INDEX('[1]RTO Register'!Q$2:Q$698,MATCH($A280,'[1]RTO Register'!$AA$2:$AA$698,0))</f>
        <v>#N/A</v>
      </c>
      <c r="O280" s="6" t="e">
        <f>INDEX('[1]RTO Register'!R$2:R$698,MATCH($A280,'[1]RTO Register'!$AA$2:$AA$698,0))</f>
        <v>#N/A</v>
      </c>
      <c r="P280" s="6" t="e">
        <f>INDEX('[1]RTO Register'!S$2:S$698,MATCH($A280,'[1]RTO Register'!$AA$2:$AA$698,0))</f>
        <v>#N/A</v>
      </c>
      <c r="Q280" s="6" t="e">
        <f t="shared" si="9"/>
        <v>#N/A</v>
      </c>
    </row>
    <row r="281" spans="6:17" x14ac:dyDescent="0.25">
      <c r="F281" s="1" t="str">
        <f t="shared" si="8"/>
        <v/>
      </c>
      <c r="G281" s="1" t="str">
        <f>IFERROR(IF(INDEX('[1]RTO Register'!AP$2:AP$698,MATCH($A281,'[1]RTO Register'!$AA$2:$AA$698,0))="Yes","School",""),"")</f>
        <v/>
      </c>
      <c r="H281" s="6" t="e">
        <f>INDEX('[1]RTO Register'!K$2:K$698,MATCH($A281,'[1]RTO Register'!$AA$2:$AA$698,0))</f>
        <v>#N/A</v>
      </c>
      <c r="I281" s="6" t="e">
        <f>INDEX('[1]RTO Register'!L$2:L$698,MATCH($A281,'[1]RTO Register'!$AA$2:$AA$698,0))</f>
        <v>#N/A</v>
      </c>
      <c r="J281" s="6" t="e">
        <f>INDEX('[1]RTO Register'!M$2:M$698,MATCH($A281,'[1]RTO Register'!$AA$2:$AA$698,0))</f>
        <v>#N/A</v>
      </c>
      <c r="K281" s="6" t="e">
        <f>INDEX('[1]RTO Register'!N$2:N$698,MATCH($A281,'[1]RTO Register'!$AA$2:$AA$698,0))</f>
        <v>#N/A</v>
      </c>
      <c r="L281" s="6" t="e">
        <f>INDEX('[1]RTO Register'!O$2:O$698,MATCH($A281,'[1]RTO Register'!$AA$2:$AA$698,0))</f>
        <v>#N/A</v>
      </c>
      <c r="M281" s="6" t="e">
        <f>INDEX('[1]RTO Register'!P$2:P$698,MATCH($A281,'[1]RTO Register'!$AA$2:$AA$698,0))</f>
        <v>#N/A</v>
      </c>
      <c r="N281" s="6" t="e">
        <f>INDEX('[1]RTO Register'!Q$2:Q$698,MATCH($A281,'[1]RTO Register'!$AA$2:$AA$698,0))</f>
        <v>#N/A</v>
      </c>
      <c r="O281" s="6" t="e">
        <f>INDEX('[1]RTO Register'!R$2:R$698,MATCH($A281,'[1]RTO Register'!$AA$2:$AA$698,0))</f>
        <v>#N/A</v>
      </c>
      <c r="P281" s="6" t="e">
        <f>INDEX('[1]RTO Register'!S$2:S$698,MATCH($A281,'[1]RTO Register'!$AA$2:$AA$698,0))</f>
        <v>#N/A</v>
      </c>
      <c r="Q281" s="6" t="e">
        <f t="shared" si="9"/>
        <v>#N/A</v>
      </c>
    </row>
    <row r="282" spans="6:17" x14ac:dyDescent="0.25">
      <c r="F282" s="1" t="str">
        <f t="shared" si="8"/>
        <v/>
      </c>
      <c r="G282" s="1" t="str">
        <f>IFERROR(IF(INDEX('[1]RTO Register'!AP$2:AP$698,MATCH($A282,'[1]RTO Register'!$AA$2:$AA$698,0))="Yes","School",""),"")</f>
        <v/>
      </c>
      <c r="H282" s="6" t="e">
        <f>INDEX('[1]RTO Register'!K$2:K$698,MATCH($A282,'[1]RTO Register'!$AA$2:$AA$698,0))</f>
        <v>#N/A</v>
      </c>
      <c r="I282" s="6" t="e">
        <f>INDEX('[1]RTO Register'!L$2:L$698,MATCH($A282,'[1]RTO Register'!$AA$2:$AA$698,0))</f>
        <v>#N/A</v>
      </c>
      <c r="J282" s="6" t="e">
        <f>INDEX('[1]RTO Register'!M$2:M$698,MATCH($A282,'[1]RTO Register'!$AA$2:$AA$698,0))</f>
        <v>#N/A</v>
      </c>
      <c r="K282" s="6" t="e">
        <f>INDEX('[1]RTO Register'!N$2:N$698,MATCH($A282,'[1]RTO Register'!$AA$2:$AA$698,0))</f>
        <v>#N/A</v>
      </c>
      <c r="L282" s="6" t="e">
        <f>INDEX('[1]RTO Register'!O$2:O$698,MATCH($A282,'[1]RTO Register'!$AA$2:$AA$698,0))</f>
        <v>#N/A</v>
      </c>
      <c r="M282" s="6" t="e">
        <f>INDEX('[1]RTO Register'!P$2:P$698,MATCH($A282,'[1]RTO Register'!$AA$2:$AA$698,0))</f>
        <v>#N/A</v>
      </c>
      <c r="N282" s="6" t="e">
        <f>INDEX('[1]RTO Register'!Q$2:Q$698,MATCH($A282,'[1]RTO Register'!$AA$2:$AA$698,0))</f>
        <v>#N/A</v>
      </c>
      <c r="O282" s="6" t="e">
        <f>INDEX('[1]RTO Register'!R$2:R$698,MATCH($A282,'[1]RTO Register'!$AA$2:$AA$698,0))</f>
        <v>#N/A</v>
      </c>
      <c r="P282" s="6" t="e">
        <f>INDEX('[1]RTO Register'!S$2:S$698,MATCH($A282,'[1]RTO Register'!$AA$2:$AA$698,0))</f>
        <v>#N/A</v>
      </c>
      <c r="Q282" s="6" t="e">
        <f t="shared" si="9"/>
        <v>#N/A</v>
      </c>
    </row>
    <row r="283" spans="6:17" x14ac:dyDescent="0.25">
      <c r="F283" s="1" t="str">
        <f t="shared" si="8"/>
        <v/>
      </c>
      <c r="G283" s="1" t="str">
        <f>IFERROR(IF(INDEX('[1]RTO Register'!AP$2:AP$698,MATCH($A283,'[1]RTO Register'!$AA$2:$AA$698,0))="Yes","School",""),"")</f>
        <v/>
      </c>
      <c r="H283" s="6" t="e">
        <f>INDEX('[1]RTO Register'!K$2:K$698,MATCH($A283,'[1]RTO Register'!$AA$2:$AA$698,0))</f>
        <v>#N/A</v>
      </c>
      <c r="I283" s="6" t="e">
        <f>INDEX('[1]RTO Register'!L$2:L$698,MATCH($A283,'[1]RTO Register'!$AA$2:$AA$698,0))</f>
        <v>#N/A</v>
      </c>
      <c r="J283" s="6" t="e">
        <f>INDEX('[1]RTO Register'!M$2:M$698,MATCH($A283,'[1]RTO Register'!$AA$2:$AA$698,0))</f>
        <v>#N/A</v>
      </c>
      <c r="K283" s="6" t="e">
        <f>INDEX('[1]RTO Register'!N$2:N$698,MATCH($A283,'[1]RTO Register'!$AA$2:$AA$698,0))</f>
        <v>#N/A</v>
      </c>
      <c r="L283" s="6" t="e">
        <f>INDEX('[1]RTO Register'!O$2:O$698,MATCH($A283,'[1]RTO Register'!$AA$2:$AA$698,0))</f>
        <v>#N/A</v>
      </c>
      <c r="M283" s="6" t="e">
        <f>INDEX('[1]RTO Register'!P$2:P$698,MATCH($A283,'[1]RTO Register'!$AA$2:$AA$698,0))</f>
        <v>#N/A</v>
      </c>
      <c r="N283" s="6" t="e">
        <f>INDEX('[1]RTO Register'!Q$2:Q$698,MATCH($A283,'[1]RTO Register'!$AA$2:$AA$698,0))</f>
        <v>#N/A</v>
      </c>
      <c r="O283" s="6" t="e">
        <f>INDEX('[1]RTO Register'!R$2:R$698,MATCH($A283,'[1]RTO Register'!$AA$2:$AA$698,0))</f>
        <v>#N/A</v>
      </c>
      <c r="P283" s="6" t="e">
        <f>INDEX('[1]RTO Register'!S$2:S$698,MATCH($A283,'[1]RTO Register'!$AA$2:$AA$698,0))</f>
        <v>#N/A</v>
      </c>
      <c r="Q283" s="6" t="e">
        <f t="shared" si="9"/>
        <v>#N/A</v>
      </c>
    </row>
    <row r="284" spans="6:17" x14ac:dyDescent="0.25">
      <c r="F284" s="1" t="str">
        <f t="shared" si="8"/>
        <v/>
      </c>
      <c r="G284" s="1" t="str">
        <f>IFERROR(IF(INDEX('[1]RTO Register'!AP$2:AP$698,MATCH($A284,'[1]RTO Register'!$AA$2:$AA$698,0))="Yes","School",""),"")</f>
        <v/>
      </c>
      <c r="H284" s="6" t="e">
        <f>INDEX('[1]RTO Register'!K$2:K$698,MATCH($A284,'[1]RTO Register'!$AA$2:$AA$698,0))</f>
        <v>#N/A</v>
      </c>
      <c r="I284" s="6" t="e">
        <f>INDEX('[1]RTO Register'!L$2:L$698,MATCH($A284,'[1]RTO Register'!$AA$2:$AA$698,0))</f>
        <v>#N/A</v>
      </c>
      <c r="J284" s="6" t="e">
        <f>INDEX('[1]RTO Register'!M$2:M$698,MATCH($A284,'[1]RTO Register'!$AA$2:$AA$698,0))</f>
        <v>#N/A</v>
      </c>
      <c r="K284" s="6" t="e">
        <f>INDEX('[1]RTO Register'!N$2:N$698,MATCH($A284,'[1]RTO Register'!$AA$2:$AA$698,0))</f>
        <v>#N/A</v>
      </c>
      <c r="L284" s="6" t="e">
        <f>INDEX('[1]RTO Register'!O$2:O$698,MATCH($A284,'[1]RTO Register'!$AA$2:$AA$698,0))</f>
        <v>#N/A</v>
      </c>
      <c r="M284" s="6" t="e">
        <f>INDEX('[1]RTO Register'!P$2:P$698,MATCH($A284,'[1]RTO Register'!$AA$2:$AA$698,0))</f>
        <v>#N/A</v>
      </c>
      <c r="N284" s="6" t="e">
        <f>INDEX('[1]RTO Register'!Q$2:Q$698,MATCH($A284,'[1]RTO Register'!$AA$2:$AA$698,0))</f>
        <v>#N/A</v>
      </c>
      <c r="O284" s="6" t="e">
        <f>INDEX('[1]RTO Register'!R$2:R$698,MATCH($A284,'[1]RTO Register'!$AA$2:$AA$698,0))</f>
        <v>#N/A</v>
      </c>
      <c r="P284" s="6" t="e">
        <f>INDEX('[1]RTO Register'!S$2:S$698,MATCH($A284,'[1]RTO Register'!$AA$2:$AA$698,0))</f>
        <v>#N/A</v>
      </c>
      <c r="Q284" s="6" t="e">
        <f t="shared" si="9"/>
        <v>#N/A</v>
      </c>
    </row>
    <row r="285" spans="6:17" x14ac:dyDescent="0.25">
      <c r="F285" s="1" t="str">
        <f t="shared" si="8"/>
        <v/>
      </c>
      <c r="G285" s="1" t="str">
        <f>IFERROR(IF(INDEX('[1]RTO Register'!AP$2:AP$698,MATCH($A285,'[1]RTO Register'!$AA$2:$AA$698,0))="Yes","School",""),"")</f>
        <v/>
      </c>
      <c r="H285" s="6" t="e">
        <f>INDEX('[1]RTO Register'!K$2:K$698,MATCH($A285,'[1]RTO Register'!$AA$2:$AA$698,0))</f>
        <v>#N/A</v>
      </c>
      <c r="I285" s="6" t="e">
        <f>INDEX('[1]RTO Register'!L$2:L$698,MATCH($A285,'[1]RTO Register'!$AA$2:$AA$698,0))</f>
        <v>#N/A</v>
      </c>
      <c r="J285" s="6" t="e">
        <f>INDEX('[1]RTO Register'!M$2:M$698,MATCH($A285,'[1]RTO Register'!$AA$2:$AA$698,0))</f>
        <v>#N/A</v>
      </c>
      <c r="K285" s="6" t="e">
        <f>INDEX('[1]RTO Register'!N$2:N$698,MATCH($A285,'[1]RTO Register'!$AA$2:$AA$698,0))</f>
        <v>#N/A</v>
      </c>
      <c r="L285" s="6" t="e">
        <f>INDEX('[1]RTO Register'!O$2:O$698,MATCH($A285,'[1]RTO Register'!$AA$2:$AA$698,0))</f>
        <v>#N/A</v>
      </c>
      <c r="M285" s="6" t="e">
        <f>INDEX('[1]RTO Register'!P$2:P$698,MATCH($A285,'[1]RTO Register'!$AA$2:$AA$698,0))</f>
        <v>#N/A</v>
      </c>
      <c r="N285" s="6" t="e">
        <f>INDEX('[1]RTO Register'!Q$2:Q$698,MATCH($A285,'[1]RTO Register'!$AA$2:$AA$698,0))</f>
        <v>#N/A</v>
      </c>
      <c r="O285" s="6" t="e">
        <f>INDEX('[1]RTO Register'!R$2:R$698,MATCH($A285,'[1]RTO Register'!$AA$2:$AA$698,0))</f>
        <v>#N/A</v>
      </c>
      <c r="P285" s="6" t="e">
        <f>INDEX('[1]RTO Register'!S$2:S$698,MATCH($A285,'[1]RTO Register'!$AA$2:$AA$698,0))</f>
        <v>#N/A</v>
      </c>
      <c r="Q285" s="6" t="e">
        <f t="shared" si="9"/>
        <v>#N/A</v>
      </c>
    </row>
    <row r="286" spans="6:17" x14ac:dyDescent="0.25">
      <c r="F286" s="1" t="str">
        <f t="shared" si="8"/>
        <v/>
      </c>
      <c r="G286" s="1" t="str">
        <f>IFERROR(IF(INDEX('[1]RTO Register'!AP$2:AP$698,MATCH($A286,'[1]RTO Register'!$AA$2:$AA$698,0))="Yes","School",""),"")</f>
        <v/>
      </c>
      <c r="H286" s="6" t="e">
        <f>INDEX('[1]RTO Register'!K$2:K$698,MATCH($A286,'[1]RTO Register'!$AA$2:$AA$698,0))</f>
        <v>#N/A</v>
      </c>
      <c r="I286" s="6" t="e">
        <f>INDEX('[1]RTO Register'!L$2:L$698,MATCH($A286,'[1]RTO Register'!$AA$2:$AA$698,0))</f>
        <v>#N/A</v>
      </c>
      <c r="J286" s="6" t="e">
        <f>INDEX('[1]RTO Register'!M$2:M$698,MATCH($A286,'[1]RTO Register'!$AA$2:$AA$698,0))</f>
        <v>#N/A</v>
      </c>
      <c r="K286" s="6" t="e">
        <f>INDEX('[1]RTO Register'!N$2:N$698,MATCH($A286,'[1]RTO Register'!$AA$2:$AA$698,0))</f>
        <v>#N/A</v>
      </c>
      <c r="L286" s="6" t="e">
        <f>INDEX('[1]RTO Register'!O$2:O$698,MATCH($A286,'[1]RTO Register'!$AA$2:$AA$698,0))</f>
        <v>#N/A</v>
      </c>
      <c r="M286" s="6" t="e">
        <f>INDEX('[1]RTO Register'!P$2:P$698,MATCH($A286,'[1]RTO Register'!$AA$2:$AA$698,0))</f>
        <v>#N/A</v>
      </c>
      <c r="N286" s="6" t="e">
        <f>INDEX('[1]RTO Register'!Q$2:Q$698,MATCH($A286,'[1]RTO Register'!$AA$2:$AA$698,0))</f>
        <v>#N/A</v>
      </c>
      <c r="O286" s="6" t="e">
        <f>INDEX('[1]RTO Register'!R$2:R$698,MATCH($A286,'[1]RTO Register'!$AA$2:$AA$698,0))</f>
        <v>#N/A</v>
      </c>
      <c r="P286" s="6" t="e">
        <f>INDEX('[1]RTO Register'!S$2:S$698,MATCH($A286,'[1]RTO Register'!$AA$2:$AA$698,0))</f>
        <v>#N/A</v>
      </c>
      <c r="Q286" s="6" t="e">
        <f t="shared" si="9"/>
        <v>#N/A</v>
      </c>
    </row>
    <row r="287" spans="6:17" x14ac:dyDescent="0.25">
      <c r="F287" s="1" t="str">
        <f t="shared" si="8"/>
        <v/>
      </c>
      <c r="G287" s="1" t="str">
        <f>IFERROR(IF(INDEX('[1]RTO Register'!AP$2:AP$698,MATCH($A287,'[1]RTO Register'!$AA$2:$AA$698,0))="Yes","School",""),"")</f>
        <v/>
      </c>
      <c r="H287" s="6" t="e">
        <f>INDEX('[1]RTO Register'!K$2:K$698,MATCH($A287,'[1]RTO Register'!$AA$2:$AA$698,0))</f>
        <v>#N/A</v>
      </c>
      <c r="I287" s="6" t="e">
        <f>INDEX('[1]RTO Register'!L$2:L$698,MATCH($A287,'[1]RTO Register'!$AA$2:$AA$698,0))</f>
        <v>#N/A</v>
      </c>
      <c r="J287" s="6" t="e">
        <f>INDEX('[1]RTO Register'!M$2:M$698,MATCH($A287,'[1]RTO Register'!$AA$2:$AA$698,0))</f>
        <v>#N/A</v>
      </c>
      <c r="K287" s="6" t="e">
        <f>INDEX('[1]RTO Register'!N$2:N$698,MATCH($A287,'[1]RTO Register'!$AA$2:$AA$698,0))</f>
        <v>#N/A</v>
      </c>
      <c r="L287" s="6" t="e">
        <f>INDEX('[1]RTO Register'!O$2:O$698,MATCH($A287,'[1]RTO Register'!$AA$2:$AA$698,0))</f>
        <v>#N/A</v>
      </c>
      <c r="M287" s="6" t="e">
        <f>INDEX('[1]RTO Register'!P$2:P$698,MATCH($A287,'[1]RTO Register'!$AA$2:$AA$698,0))</f>
        <v>#N/A</v>
      </c>
      <c r="N287" s="6" t="e">
        <f>INDEX('[1]RTO Register'!Q$2:Q$698,MATCH($A287,'[1]RTO Register'!$AA$2:$AA$698,0))</f>
        <v>#N/A</v>
      </c>
      <c r="O287" s="6" t="e">
        <f>INDEX('[1]RTO Register'!R$2:R$698,MATCH($A287,'[1]RTO Register'!$AA$2:$AA$698,0))</f>
        <v>#N/A</v>
      </c>
      <c r="P287" s="6" t="e">
        <f>INDEX('[1]RTO Register'!S$2:S$698,MATCH($A287,'[1]RTO Register'!$AA$2:$AA$698,0))</f>
        <v>#N/A</v>
      </c>
      <c r="Q287" s="6" t="e">
        <f t="shared" si="9"/>
        <v>#N/A</v>
      </c>
    </row>
    <row r="288" spans="6:17" x14ac:dyDescent="0.25">
      <c r="F288" s="1" t="str">
        <f t="shared" si="8"/>
        <v/>
      </c>
      <c r="G288" s="1" t="str">
        <f>IFERROR(IF(INDEX('[1]RTO Register'!AP$2:AP$698,MATCH($A288,'[1]RTO Register'!$AA$2:$AA$698,0))="Yes","School",""),"")</f>
        <v/>
      </c>
      <c r="H288" s="6" t="e">
        <f>INDEX('[1]RTO Register'!K$2:K$698,MATCH($A288,'[1]RTO Register'!$AA$2:$AA$698,0))</f>
        <v>#N/A</v>
      </c>
      <c r="I288" s="6" t="e">
        <f>INDEX('[1]RTO Register'!L$2:L$698,MATCH($A288,'[1]RTO Register'!$AA$2:$AA$698,0))</f>
        <v>#N/A</v>
      </c>
      <c r="J288" s="6" t="e">
        <f>INDEX('[1]RTO Register'!M$2:M$698,MATCH($A288,'[1]RTO Register'!$AA$2:$AA$698,0))</f>
        <v>#N/A</v>
      </c>
      <c r="K288" s="6" t="e">
        <f>INDEX('[1]RTO Register'!N$2:N$698,MATCH($A288,'[1]RTO Register'!$AA$2:$AA$698,0))</f>
        <v>#N/A</v>
      </c>
      <c r="L288" s="6" t="e">
        <f>INDEX('[1]RTO Register'!O$2:O$698,MATCH($A288,'[1]RTO Register'!$AA$2:$AA$698,0))</f>
        <v>#N/A</v>
      </c>
      <c r="M288" s="6" t="e">
        <f>INDEX('[1]RTO Register'!P$2:P$698,MATCH($A288,'[1]RTO Register'!$AA$2:$AA$698,0))</f>
        <v>#N/A</v>
      </c>
      <c r="N288" s="6" t="e">
        <f>INDEX('[1]RTO Register'!Q$2:Q$698,MATCH($A288,'[1]RTO Register'!$AA$2:$AA$698,0))</f>
        <v>#N/A</v>
      </c>
      <c r="O288" s="6" t="e">
        <f>INDEX('[1]RTO Register'!R$2:R$698,MATCH($A288,'[1]RTO Register'!$AA$2:$AA$698,0))</f>
        <v>#N/A</v>
      </c>
      <c r="P288" s="6" t="e">
        <f>INDEX('[1]RTO Register'!S$2:S$698,MATCH($A288,'[1]RTO Register'!$AA$2:$AA$698,0))</f>
        <v>#N/A</v>
      </c>
      <c r="Q288" s="6" t="e">
        <f t="shared" si="9"/>
        <v>#N/A</v>
      </c>
    </row>
    <row r="289" spans="6:17" x14ac:dyDescent="0.25">
      <c r="F289" s="1" t="str">
        <f t="shared" si="8"/>
        <v/>
      </c>
      <c r="G289" s="1" t="str">
        <f>IFERROR(IF(INDEX('[1]RTO Register'!AP$2:AP$698,MATCH($A289,'[1]RTO Register'!$AA$2:$AA$698,0))="Yes","School",""),"")</f>
        <v/>
      </c>
      <c r="H289" s="6" t="e">
        <f>INDEX('[1]RTO Register'!K$2:K$698,MATCH($A289,'[1]RTO Register'!$AA$2:$AA$698,0))</f>
        <v>#N/A</v>
      </c>
      <c r="I289" s="6" t="e">
        <f>INDEX('[1]RTO Register'!L$2:L$698,MATCH($A289,'[1]RTO Register'!$AA$2:$AA$698,0))</f>
        <v>#N/A</v>
      </c>
      <c r="J289" s="6" t="e">
        <f>INDEX('[1]RTO Register'!M$2:M$698,MATCH($A289,'[1]RTO Register'!$AA$2:$AA$698,0))</f>
        <v>#N/A</v>
      </c>
      <c r="K289" s="6" t="e">
        <f>INDEX('[1]RTO Register'!N$2:N$698,MATCH($A289,'[1]RTO Register'!$AA$2:$AA$698,0))</f>
        <v>#N/A</v>
      </c>
      <c r="L289" s="6" t="e">
        <f>INDEX('[1]RTO Register'!O$2:O$698,MATCH($A289,'[1]RTO Register'!$AA$2:$AA$698,0))</f>
        <v>#N/A</v>
      </c>
      <c r="M289" s="6" t="e">
        <f>INDEX('[1]RTO Register'!P$2:P$698,MATCH($A289,'[1]RTO Register'!$AA$2:$AA$698,0))</f>
        <v>#N/A</v>
      </c>
      <c r="N289" s="6" t="e">
        <f>INDEX('[1]RTO Register'!Q$2:Q$698,MATCH($A289,'[1]RTO Register'!$AA$2:$AA$698,0))</f>
        <v>#N/A</v>
      </c>
      <c r="O289" s="6" t="e">
        <f>INDEX('[1]RTO Register'!R$2:R$698,MATCH($A289,'[1]RTO Register'!$AA$2:$AA$698,0))</f>
        <v>#N/A</v>
      </c>
      <c r="P289" s="6" t="e">
        <f>INDEX('[1]RTO Register'!S$2:S$698,MATCH($A289,'[1]RTO Register'!$AA$2:$AA$698,0))</f>
        <v>#N/A</v>
      </c>
      <c r="Q289" s="6" t="e">
        <f t="shared" si="9"/>
        <v>#N/A</v>
      </c>
    </row>
    <row r="290" spans="6:17" x14ac:dyDescent="0.25">
      <c r="F290" s="1" t="str">
        <f t="shared" si="8"/>
        <v/>
      </c>
      <c r="G290" s="1" t="str">
        <f>IFERROR(IF(INDEX('[1]RTO Register'!AP$2:AP$698,MATCH($A290,'[1]RTO Register'!$AA$2:$AA$698,0))="Yes","School",""),"")</f>
        <v/>
      </c>
      <c r="H290" s="6" t="e">
        <f>INDEX('[1]RTO Register'!K$2:K$698,MATCH($A290,'[1]RTO Register'!$AA$2:$AA$698,0))</f>
        <v>#N/A</v>
      </c>
      <c r="I290" s="6" t="e">
        <f>INDEX('[1]RTO Register'!L$2:L$698,MATCH($A290,'[1]RTO Register'!$AA$2:$AA$698,0))</f>
        <v>#N/A</v>
      </c>
      <c r="J290" s="6" t="e">
        <f>INDEX('[1]RTO Register'!M$2:M$698,MATCH($A290,'[1]RTO Register'!$AA$2:$AA$698,0))</f>
        <v>#N/A</v>
      </c>
      <c r="K290" s="6" t="e">
        <f>INDEX('[1]RTO Register'!N$2:N$698,MATCH($A290,'[1]RTO Register'!$AA$2:$AA$698,0))</f>
        <v>#N/A</v>
      </c>
      <c r="L290" s="6" t="e">
        <f>INDEX('[1]RTO Register'!O$2:O$698,MATCH($A290,'[1]RTO Register'!$AA$2:$AA$698,0))</f>
        <v>#N/A</v>
      </c>
      <c r="M290" s="6" t="e">
        <f>INDEX('[1]RTO Register'!P$2:P$698,MATCH($A290,'[1]RTO Register'!$AA$2:$AA$698,0))</f>
        <v>#N/A</v>
      </c>
      <c r="N290" s="6" t="e">
        <f>INDEX('[1]RTO Register'!Q$2:Q$698,MATCH($A290,'[1]RTO Register'!$AA$2:$AA$698,0))</f>
        <v>#N/A</v>
      </c>
      <c r="O290" s="6" t="e">
        <f>INDEX('[1]RTO Register'!R$2:R$698,MATCH($A290,'[1]RTO Register'!$AA$2:$AA$698,0))</f>
        <v>#N/A</v>
      </c>
      <c r="P290" s="6" t="e">
        <f>INDEX('[1]RTO Register'!S$2:S$698,MATCH($A290,'[1]RTO Register'!$AA$2:$AA$698,0))</f>
        <v>#N/A</v>
      </c>
      <c r="Q290" s="6" t="e">
        <f t="shared" si="9"/>
        <v>#N/A</v>
      </c>
    </row>
    <row r="291" spans="6:17" x14ac:dyDescent="0.25">
      <c r="F291" s="1" t="str">
        <f t="shared" si="8"/>
        <v/>
      </c>
      <c r="G291" s="1" t="str">
        <f>IFERROR(IF(INDEX('[1]RTO Register'!AP$2:AP$698,MATCH($A291,'[1]RTO Register'!$AA$2:$AA$698,0))="Yes","School",""),"")</f>
        <v/>
      </c>
      <c r="H291" s="6" t="e">
        <f>INDEX('[1]RTO Register'!K$2:K$698,MATCH($A291,'[1]RTO Register'!$AA$2:$AA$698,0))</f>
        <v>#N/A</v>
      </c>
      <c r="I291" s="6" t="e">
        <f>INDEX('[1]RTO Register'!L$2:L$698,MATCH($A291,'[1]RTO Register'!$AA$2:$AA$698,0))</f>
        <v>#N/A</v>
      </c>
      <c r="J291" s="6" t="e">
        <f>INDEX('[1]RTO Register'!M$2:M$698,MATCH($A291,'[1]RTO Register'!$AA$2:$AA$698,0))</f>
        <v>#N/A</v>
      </c>
      <c r="K291" s="6" t="e">
        <f>INDEX('[1]RTO Register'!N$2:N$698,MATCH($A291,'[1]RTO Register'!$AA$2:$AA$698,0))</f>
        <v>#N/A</v>
      </c>
      <c r="L291" s="6" t="e">
        <f>INDEX('[1]RTO Register'!O$2:O$698,MATCH($A291,'[1]RTO Register'!$AA$2:$AA$698,0))</f>
        <v>#N/A</v>
      </c>
      <c r="M291" s="6" t="e">
        <f>INDEX('[1]RTO Register'!P$2:P$698,MATCH($A291,'[1]RTO Register'!$AA$2:$AA$698,0))</f>
        <v>#N/A</v>
      </c>
      <c r="N291" s="6" t="e">
        <f>INDEX('[1]RTO Register'!Q$2:Q$698,MATCH($A291,'[1]RTO Register'!$AA$2:$AA$698,0))</f>
        <v>#N/A</v>
      </c>
      <c r="O291" s="6" t="e">
        <f>INDEX('[1]RTO Register'!R$2:R$698,MATCH($A291,'[1]RTO Register'!$AA$2:$AA$698,0))</f>
        <v>#N/A</v>
      </c>
      <c r="P291" s="6" t="e">
        <f>INDEX('[1]RTO Register'!S$2:S$698,MATCH($A291,'[1]RTO Register'!$AA$2:$AA$698,0))</f>
        <v>#N/A</v>
      </c>
      <c r="Q291" s="6" t="e">
        <f t="shared" si="9"/>
        <v>#N/A</v>
      </c>
    </row>
    <row r="292" spans="6:17" x14ac:dyDescent="0.25">
      <c r="F292" s="1" t="str">
        <f t="shared" si="8"/>
        <v/>
      </c>
      <c r="G292" s="1" t="str">
        <f>IFERROR(IF(INDEX('[1]RTO Register'!AP$2:AP$698,MATCH($A292,'[1]RTO Register'!$AA$2:$AA$698,0))="Yes","School",""),"")</f>
        <v/>
      </c>
      <c r="H292" s="6" t="e">
        <f>INDEX('[1]RTO Register'!K$2:K$698,MATCH($A292,'[1]RTO Register'!$AA$2:$AA$698,0))</f>
        <v>#N/A</v>
      </c>
      <c r="I292" s="6" t="e">
        <f>INDEX('[1]RTO Register'!L$2:L$698,MATCH($A292,'[1]RTO Register'!$AA$2:$AA$698,0))</f>
        <v>#N/A</v>
      </c>
      <c r="J292" s="6" t="e">
        <f>INDEX('[1]RTO Register'!M$2:M$698,MATCH($A292,'[1]RTO Register'!$AA$2:$AA$698,0))</f>
        <v>#N/A</v>
      </c>
      <c r="K292" s="6" t="e">
        <f>INDEX('[1]RTO Register'!N$2:N$698,MATCH($A292,'[1]RTO Register'!$AA$2:$AA$698,0))</f>
        <v>#N/A</v>
      </c>
      <c r="L292" s="6" t="e">
        <f>INDEX('[1]RTO Register'!O$2:O$698,MATCH($A292,'[1]RTO Register'!$AA$2:$AA$698,0))</f>
        <v>#N/A</v>
      </c>
      <c r="M292" s="6" t="e">
        <f>INDEX('[1]RTO Register'!P$2:P$698,MATCH($A292,'[1]RTO Register'!$AA$2:$AA$698,0))</f>
        <v>#N/A</v>
      </c>
      <c r="N292" s="6" t="e">
        <f>INDEX('[1]RTO Register'!Q$2:Q$698,MATCH($A292,'[1]RTO Register'!$AA$2:$AA$698,0))</f>
        <v>#N/A</v>
      </c>
      <c r="O292" s="6" t="e">
        <f>INDEX('[1]RTO Register'!R$2:R$698,MATCH($A292,'[1]RTO Register'!$AA$2:$AA$698,0))</f>
        <v>#N/A</v>
      </c>
      <c r="P292" s="6" t="e">
        <f>INDEX('[1]RTO Register'!S$2:S$698,MATCH($A292,'[1]RTO Register'!$AA$2:$AA$698,0))</f>
        <v>#N/A</v>
      </c>
      <c r="Q292" s="6" t="e">
        <f t="shared" si="9"/>
        <v>#N/A</v>
      </c>
    </row>
    <row r="293" spans="6:17" x14ac:dyDescent="0.25">
      <c r="F293" s="1" t="str">
        <f t="shared" si="8"/>
        <v/>
      </c>
      <c r="G293" s="1" t="str">
        <f>IFERROR(IF(INDEX('[1]RTO Register'!AP$2:AP$698,MATCH($A293,'[1]RTO Register'!$AA$2:$AA$698,0))="Yes","School",""),"")</f>
        <v/>
      </c>
      <c r="H293" s="6" t="e">
        <f>INDEX('[1]RTO Register'!K$2:K$698,MATCH($A293,'[1]RTO Register'!$AA$2:$AA$698,0))</f>
        <v>#N/A</v>
      </c>
      <c r="I293" s="6" t="e">
        <f>INDEX('[1]RTO Register'!L$2:L$698,MATCH($A293,'[1]RTO Register'!$AA$2:$AA$698,0))</f>
        <v>#N/A</v>
      </c>
      <c r="J293" s="6" t="e">
        <f>INDEX('[1]RTO Register'!M$2:M$698,MATCH($A293,'[1]RTO Register'!$AA$2:$AA$698,0))</f>
        <v>#N/A</v>
      </c>
      <c r="K293" s="6" t="e">
        <f>INDEX('[1]RTO Register'!N$2:N$698,MATCH($A293,'[1]RTO Register'!$AA$2:$AA$698,0))</f>
        <v>#N/A</v>
      </c>
      <c r="L293" s="6" t="e">
        <f>INDEX('[1]RTO Register'!O$2:O$698,MATCH($A293,'[1]RTO Register'!$AA$2:$AA$698,0))</f>
        <v>#N/A</v>
      </c>
      <c r="M293" s="6" t="e">
        <f>INDEX('[1]RTO Register'!P$2:P$698,MATCH($A293,'[1]RTO Register'!$AA$2:$AA$698,0))</f>
        <v>#N/A</v>
      </c>
      <c r="N293" s="6" t="e">
        <f>INDEX('[1]RTO Register'!Q$2:Q$698,MATCH($A293,'[1]RTO Register'!$AA$2:$AA$698,0))</f>
        <v>#N/A</v>
      </c>
      <c r="O293" s="6" t="e">
        <f>INDEX('[1]RTO Register'!R$2:R$698,MATCH($A293,'[1]RTO Register'!$AA$2:$AA$698,0))</f>
        <v>#N/A</v>
      </c>
      <c r="P293" s="6" t="e">
        <f>INDEX('[1]RTO Register'!S$2:S$698,MATCH($A293,'[1]RTO Register'!$AA$2:$AA$698,0))</f>
        <v>#N/A</v>
      </c>
      <c r="Q293" s="6" t="e">
        <f t="shared" si="9"/>
        <v>#N/A</v>
      </c>
    </row>
    <row r="294" spans="6:17" x14ac:dyDescent="0.25">
      <c r="F294" s="1" t="str">
        <f t="shared" si="8"/>
        <v/>
      </c>
      <c r="G294" s="1" t="str">
        <f>IFERROR(IF(INDEX('[1]RTO Register'!AP$2:AP$698,MATCH($A294,'[1]RTO Register'!$AA$2:$AA$698,0))="Yes","School",""),"")</f>
        <v/>
      </c>
      <c r="H294" s="6" t="e">
        <f>INDEX('[1]RTO Register'!K$2:K$698,MATCH($A294,'[1]RTO Register'!$AA$2:$AA$698,0))</f>
        <v>#N/A</v>
      </c>
      <c r="I294" s="6" t="e">
        <f>INDEX('[1]RTO Register'!L$2:L$698,MATCH($A294,'[1]RTO Register'!$AA$2:$AA$698,0))</f>
        <v>#N/A</v>
      </c>
      <c r="J294" s="6" t="e">
        <f>INDEX('[1]RTO Register'!M$2:M$698,MATCH($A294,'[1]RTO Register'!$AA$2:$AA$698,0))</f>
        <v>#N/A</v>
      </c>
      <c r="K294" s="6" t="e">
        <f>INDEX('[1]RTO Register'!N$2:N$698,MATCH($A294,'[1]RTO Register'!$AA$2:$AA$698,0))</f>
        <v>#N/A</v>
      </c>
      <c r="L294" s="6" t="e">
        <f>INDEX('[1]RTO Register'!O$2:O$698,MATCH($A294,'[1]RTO Register'!$AA$2:$AA$698,0))</f>
        <v>#N/A</v>
      </c>
      <c r="M294" s="6" t="e">
        <f>INDEX('[1]RTO Register'!P$2:P$698,MATCH($A294,'[1]RTO Register'!$AA$2:$AA$698,0))</f>
        <v>#N/A</v>
      </c>
      <c r="N294" s="6" t="e">
        <f>INDEX('[1]RTO Register'!Q$2:Q$698,MATCH($A294,'[1]RTO Register'!$AA$2:$AA$698,0))</f>
        <v>#N/A</v>
      </c>
      <c r="O294" s="6" t="e">
        <f>INDEX('[1]RTO Register'!R$2:R$698,MATCH($A294,'[1]RTO Register'!$AA$2:$AA$698,0))</f>
        <v>#N/A</v>
      </c>
      <c r="P294" s="6" t="e">
        <f>INDEX('[1]RTO Register'!S$2:S$698,MATCH($A294,'[1]RTO Register'!$AA$2:$AA$698,0))</f>
        <v>#N/A</v>
      </c>
      <c r="Q294" s="6" t="e">
        <f t="shared" si="9"/>
        <v>#N/A</v>
      </c>
    </row>
    <row r="295" spans="6:17" x14ac:dyDescent="0.25">
      <c r="F295" s="1" t="str">
        <f t="shared" si="8"/>
        <v/>
      </c>
      <c r="G295" s="1" t="str">
        <f>IFERROR(IF(INDEX('[1]RTO Register'!AP$2:AP$698,MATCH($A295,'[1]RTO Register'!$AA$2:$AA$698,0))="Yes","School",""),"")</f>
        <v/>
      </c>
      <c r="H295" s="6" t="e">
        <f>INDEX('[1]RTO Register'!K$2:K$698,MATCH($A295,'[1]RTO Register'!$AA$2:$AA$698,0))</f>
        <v>#N/A</v>
      </c>
      <c r="I295" s="6" t="e">
        <f>INDEX('[1]RTO Register'!L$2:L$698,MATCH($A295,'[1]RTO Register'!$AA$2:$AA$698,0))</f>
        <v>#N/A</v>
      </c>
      <c r="J295" s="6" t="e">
        <f>INDEX('[1]RTO Register'!M$2:M$698,MATCH($A295,'[1]RTO Register'!$AA$2:$AA$698,0))</f>
        <v>#N/A</v>
      </c>
      <c r="K295" s="6" t="e">
        <f>INDEX('[1]RTO Register'!N$2:N$698,MATCH($A295,'[1]RTO Register'!$AA$2:$AA$698,0))</f>
        <v>#N/A</v>
      </c>
      <c r="L295" s="6" t="e">
        <f>INDEX('[1]RTO Register'!O$2:O$698,MATCH($A295,'[1]RTO Register'!$AA$2:$AA$698,0))</f>
        <v>#N/A</v>
      </c>
      <c r="M295" s="6" t="e">
        <f>INDEX('[1]RTO Register'!P$2:P$698,MATCH($A295,'[1]RTO Register'!$AA$2:$AA$698,0))</f>
        <v>#N/A</v>
      </c>
      <c r="N295" s="6" t="e">
        <f>INDEX('[1]RTO Register'!Q$2:Q$698,MATCH($A295,'[1]RTO Register'!$AA$2:$AA$698,0))</f>
        <v>#N/A</v>
      </c>
      <c r="O295" s="6" t="e">
        <f>INDEX('[1]RTO Register'!R$2:R$698,MATCH($A295,'[1]RTO Register'!$AA$2:$AA$698,0))</f>
        <v>#N/A</v>
      </c>
      <c r="P295" s="6" t="e">
        <f>INDEX('[1]RTO Register'!S$2:S$698,MATCH($A295,'[1]RTO Register'!$AA$2:$AA$698,0))</f>
        <v>#N/A</v>
      </c>
      <c r="Q295" s="6" t="e">
        <f t="shared" si="9"/>
        <v>#N/A</v>
      </c>
    </row>
    <row r="296" spans="6:17" x14ac:dyDescent="0.25">
      <c r="F296" s="1" t="str">
        <f t="shared" si="8"/>
        <v/>
      </c>
      <c r="G296" s="1" t="str">
        <f>IFERROR(IF(INDEX('[1]RTO Register'!AP$2:AP$698,MATCH($A296,'[1]RTO Register'!$AA$2:$AA$698,0))="Yes","School",""),"")</f>
        <v/>
      </c>
      <c r="H296" s="6" t="e">
        <f>INDEX('[1]RTO Register'!K$2:K$698,MATCH($A296,'[1]RTO Register'!$AA$2:$AA$698,0))</f>
        <v>#N/A</v>
      </c>
      <c r="I296" s="6" t="e">
        <f>INDEX('[1]RTO Register'!L$2:L$698,MATCH($A296,'[1]RTO Register'!$AA$2:$AA$698,0))</f>
        <v>#N/A</v>
      </c>
      <c r="J296" s="6" t="e">
        <f>INDEX('[1]RTO Register'!M$2:M$698,MATCH($A296,'[1]RTO Register'!$AA$2:$AA$698,0))</f>
        <v>#N/A</v>
      </c>
      <c r="K296" s="6" t="e">
        <f>INDEX('[1]RTO Register'!N$2:N$698,MATCH($A296,'[1]RTO Register'!$AA$2:$AA$698,0))</f>
        <v>#N/A</v>
      </c>
      <c r="L296" s="6" t="e">
        <f>INDEX('[1]RTO Register'!O$2:O$698,MATCH($A296,'[1]RTO Register'!$AA$2:$AA$698,0))</f>
        <v>#N/A</v>
      </c>
      <c r="M296" s="6" t="e">
        <f>INDEX('[1]RTO Register'!P$2:P$698,MATCH($A296,'[1]RTO Register'!$AA$2:$AA$698,0))</f>
        <v>#N/A</v>
      </c>
      <c r="N296" s="6" t="e">
        <f>INDEX('[1]RTO Register'!Q$2:Q$698,MATCH($A296,'[1]RTO Register'!$AA$2:$AA$698,0))</f>
        <v>#N/A</v>
      </c>
      <c r="O296" s="6" t="e">
        <f>INDEX('[1]RTO Register'!R$2:R$698,MATCH($A296,'[1]RTO Register'!$AA$2:$AA$698,0))</f>
        <v>#N/A</v>
      </c>
      <c r="P296" s="6" t="e">
        <f>INDEX('[1]RTO Register'!S$2:S$698,MATCH($A296,'[1]RTO Register'!$AA$2:$AA$698,0))</f>
        <v>#N/A</v>
      </c>
      <c r="Q296" s="6" t="e">
        <f t="shared" si="9"/>
        <v>#N/A</v>
      </c>
    </row>
    <row r="297" spans="6:17" x14ac:dyDescent="0.25">
      <c r="F297" s="1" t="str">
        <f t="shared" si="8"/>
        <v/>
      </c>
      <c r="G297" s="1" t="str">
        <f>IFERROR(IF(INDEX('[1]RTO Register'!AP$2:AP$698,MATCH($A297,'[1]RTO Register'!$AA$2:$AA$698,0))="Yes","School",""),"")</f>
        <v/>
      </c>
      <c r="H297" s="6" t="e">
        <f>INDEX('[1]RTO Register'!K$2:K$698,MATCH($A297,'[1]RTO Register'!$AA$2:$AA$698,0))</f>
        <v>#N/A</v>
      </c>
      <c r="I297" s="6" t="e">
        <f>INDEX('[1]RTO Register'!L$2:L$698,MATCH($A297,'[1]RTO Register'!$AA$2:$AA$698,0))</f>
        <v>#N/A</v>
      </c>
      <c r="J297" s="6" t="e">
        <f>INDEX('[1]RTO Register'!M$2:M$698,MATCH($A297,'[1]RTO Register'!$AA$2:$AA$698,0))</f>
        <v>#N/A</v>
      </c>
      <c r="K297" s="6" t="e">
        <f>INDEX('[1]RTO Register'!N$2:N$698,MATCH($A297,'[1]RTO Register'!$AA$2:$AA$698,0))</f>
        <v>#N/A</v>
      </c>
      <c r="L297" s="6" t="e">
        <f>INDEX('[1]RTO Register'!O$2:O$698,MATCH($A297,'[1]RTO Register'!$AA$2:$AA$698,0))</f>
        <v>#N/A</v>
      </c>
      <c r="M297" s="6" t="e">
        <f>INDEX('[1]RTO Register'!P$2:P$698,MATCH($A297,'[1]RTO Register'!$AA$2:$AA$698,0))</f>
        <v>#N/A</v>
      </c>
      <c r="N297" s="6" t="e">
        <f>INDEX('[1]RTO Register'!Q$2:Q$698,MATCH($A297,'[1]RTO Register'!$AA$2:$AA$698,0))</f>
        <v>#N/A</v>
      </c>
      <c r="O297" s="6" t="e">
        <f>INDEX('[1]RTO Register'!R$2:R$698,MATCH($A297,'[1]RTO Register'!$AA$2:$AA$698,0))</f>
        <v>#N/A</v>
      </c>
      <c r="P297" s="6" t="e">
        <f>INDEX('[1]RTO Register'!S$2:S$698,MATCH($A297,'[1]RTO Register'!$AA$2:$AA$698,0))</f>
        <v>#N/A</v>
      </c>
      <c r="Q297" s="6" t="e">
        <f t="shared" si="9"/>
        <v>#N/A</v>
      </c>
    </row>
    <row r="298" spans="6:17" x14ac:dyDescent="0.25">
      <c r="F298" s="1" t="str">
        <f t="shared" si="8"/>
        <v/>
      </c>
      <c r="G298" s="1" t="str">
        <f>IFERROR(IF(INDEX('[1]RTO Register'!AP$2:AP$698,MATCH($A298,'[1]RTO Register'!$AA$2:$AA$698,0))="Yes","School",""),"")</f>
        <v/>
      </c>
      <c r="H298" s="6" t="e">
        <f>INDEX('[1]RTO Register'!K$2:K$698,MATCH($A298,'[1]RTO Register'!$AA$2:$AA$698,0))</f>
        <v>#N/A</v>
      </c>
      <c r="I298" s="6" t="e">
        <f>INDEX('[1]RTO Register'!L$2:L$698,MATCH($A298,'[1]RTO Register'!$AA$2:$AA$698,0))</f>
        <v>#N/A</v>
      </c>
      <c r="J298" s="6" t="e">
        <f>INDEX('[1]RTO Register'!M$2:M$698,MATCH($A298,'[1]RTO Register'!$AA$2:$AA$698,0))</f>
        <v>#N/A</v>
      </c>
      <c r="K298" s="6" t="e">
        <f>INDEX('[1]RTO Register'!N$2:N$698,MATCH($A298,'[1]RTO Register'!$AA$2:$AA$698,0))</f>
        <v>#N/A</v>
      </c>
      <c r="L298" s="6" t="e">
        <f>INDEX('[1]RTO Register'!O$2:O$698,MATCH($A298,'[1]RTO Register'!$AA$2:$AA$698,0))</f>
        <v>#N/A</v>
      </c>
      <c r="M298" s="6" t="e">
        <f>INDEX('[1]RTO Register'!P$2:P$698,MATCH($A298,'[1]RTO Register'!$AA$2:$AA$698,0))</f>
        <v>#N/A</v>
      </c>
      <c r="N298" s="6" t="e">
        <f>INDEX('[1]RTO Register'!Q$2:Q$698,MATCH($A298,'[1]RTO Register'!$AA$2:$AA$698,0))</f>
        <v>#N/A</v>
      </c>
      <c r="O298" s="6" t="e">
        <f>INDEX('[1]RTO Register'!R$2:R$698,MATCH($A298,'[1]RTO Register'!$AA$2:$AA$698,0))</f>
        <v>#N/A</v>
      </c>
      <c r="P298" s="6" t="e">
        <f>INDEX('[1]RTO Register'!S$2:S$698,MATCH($A298,'[1]RTO Register'!$AA$2:$AA$698,0))</f>
        <v>#N/A</v>
      </c>
      <c r="Q298" s="6" t="e">
        <f t="shared" si="9"/>
        <v>#N/A</v>
      </c>
    </row>
    <row r="299" spans="6:17" x14ac:dyDescent="0.25">
      <c r="F299" s="1" t="str">
        <f t="shared" si="8"/>
        <v/>
      </c>
      <c r="G299" s="1" t="str">
        <f>IFERROR(IF(INDEX('[1]RTO Register'!AP$2:AP$698,MATCH($A299,'[1]RTO Register'!$AA$2:$AA$698,0))="Yes","School",""),"")</f>
        <v/>
      </c>
      <c r="H299" s="6" t="e">
        <f>INDEX('[1]RTO Register'!K$2:K$698,MATCH($A299,'[1]RTO Register'!$AA$2:$AA$698,0))</f>
        <v>#N/A</v>
      </c>
      <c r="I299" s="6" t="e">
        <f>INDEX('[1]RTO Register'!L$2:L$698,MATCH($A299,'[1]RTO Register'!$AA$2:$AA$698,0))</f>
        <v>#N/A</v>
      </c>
      <c r="J299" s="6" t="e">
        <f>INDEX('[1]RTO Register'!M$2:M$698,MATCH($A299,'[1]RTO Register'!$AA$2:$AA$698,0))</f>
        <v>#N/A</v>
      </c>
      <c r="K299" s="6" t="e">
        <f>INDEX('[1]RTO Register'!N$2:N$698,MATCH($A299,'[1]RTO Register'!$AA$2:$AA$698,0))</f>
        <v>#N/A</v>
      </c>
      <c r="L299" s="6" t="e">
        <f>INDEX('[1]RTO Register'!O$2:O$698,MATCH($A299,'[1]RTO Register'!$AA$2:$AA$698,0))</f>
        <v>#N/A</v>
      </c>
      <c r="M299" s="6" t="e">
        <f>INDEX('[1]RTO Register'!P$2:P$698,MATCH($A299,'[1]RTO Register'!$AA$2:$AA$698,0))</f>
        <v>#N/A</v>
      </c>
      <c r="N299" s="6" t="e">
        <f>INDEX('[1]RTO Register'!Q$2:Q$698,MATCH($A299,'[1]RTO Register'!$AA$2:$AA$698,0))</f>
        <v>#N/A</v>
      </c>
      <c r="O299" s="6" t="e">
        <f>INDEX('[1]RTO Register'!R$2:R$698,MATCH($A299,'[1]RTO Register'!$AA$2:$AA$698,0))</f>
        <v>#N/A</v>
      </c>
      <c r="P299" s="6" t="e">
        <f>INDEX('[1]RTO Register'!S$2:S$698,MATCH($A299,'[1]RTO Register'!$AA$2:$AA$698,0))</f>
        <v>#N/A</v>
      </c>
      <c r="Q299" s="6" t="e">
        <f t="shared" si="9"/>
        <v>#N/A</v>
      </c>
    </row>
    <row r="300" spans="6:17" x14ac:dyDescent="0.25">
      <c r="F300" s="1" t="str">
        <f t="shared" si="8"/>
        <v/>
      </c>
      <c r="G300" s="1" t="str">
        <f>IFERROR(IF(INDEX('[1]RTO Register'!AP$2:AP$698,MATCH($A300,'[1]RTO Register'!$AA$2:$AA$698,0))="Yes","School",""),"")</f>
        <v/>
      </c>
      <c r="H300" s="6" t="e">
        <f>INDEX('[1]RTO Register'!K$2:K$698,MATCH($A300,'[1]RTO Register'!$AA$2:$AA$698,0))</f>
        <v>#N/A</v>
      </c>
      <c r="I300" s="6" t="e">
        <f>INDEX('[1]RTO Register'!L$2:L$698,MATCH($A300,'[1]RTO Register'!$AA$2:$AA$698,0))</f>
        <v>#N/A</v>
      </c>
      <c r="J300" s="6" t="e">
        <f>INDEX('[1]RTO Register'!M$2:M$698,MATCH($A300,'[1]RTO Register'!$AA$2:$AA$698,0))</f>
        <v>#N/A</v>
      </c>
      <c r="K300" s="6" t="e">
        <f>INDEX('[1]RTO Register'!N$2:N$698,MATCH($A300,'[1]RTO Register'!$AA$2:$AA$698,0))</f>
        <v>#N/A</v>
      </c>
      <c r="L300" s="6" t="e">
        <f>INDEX('[1]RTO Register'!O$2:O$698,MATCH($A300,'[1]RTO Register'!$AA$2:$AA$698,0))</f>
        <v>#N/A</v>
      </c>
      <c r="M300" s="6" t="e">
        <f>INDEX('[1]RTO Register'!P$2:P$698,MATCH($A300,'[1]RTO Register'!$AA$2:$AA$698,0))</f>
        <v>#N/A</v>
      </c>
      <c r="N300" s="6" t="e">
        <f>INDEX('[1]RTO Register'!Q$2:Q$698,MATCH($A300,'[1]RTO Register'!$AA$2:$AA$698,0))</f>
        <v>#N/A</v>
      </c>
      <c r="O300" s="6" t="e">
        <f>INDEX('[1]RTO Register'!R$2:R$698,MATCH($A300,'[1]RTO Register'!$AA$2:$AA$698,0))</f>
        <v>#N/A</v>
      </c>
      <c r="P300" s="6" t="e">
        <f>INDEX('[1]RTO Register'!S$2:S$698,MATCH($A300,'[1]RTO Register'!$AA$2:$AA$698,0))</f>
        <v>#N/A</v>
      </c>
      <c r="Q300" s="6" t="e">
        <f t="shared" si="9"/>
        <v>#N/A</v>
      </c>
    </row>
    <row r="301" spans="6:17" x14ac:dyDescent="0.25">
      <c r="F301" s="1" t="str">
        <f t="shared" si="8"/>
        <v/>
      </c>
      <c r="G301" s="1" t="str">
        <f>IFERROR(IF(INDEX('[1]RTO Register'!AP$2:AP$698,MATCH($A301,'[1]RTO Register'!$AA$2:$AA$698,0))="Yes","School",""),"")</f>
        <v/>
      </c>
      <c r="H301" s="6" t="e">
        <f>INDEX('[1]RTO Register'!K$2:K$698,MATCH($A301,'[1]RTO Register'!$AA$2:$AA$698,0))</f>
        <v>#N/A</v>
      </c>
      <c r="I301" s="6" t="e">
        <f>INDEX('[1]RTO Register'!L$2:L$698,MATCH($A301,'[1]RTO Register'!$AA$2:$AA$698,0))</f>
        <v>#N/A</v>
      </c>
      <c r="J301" s="6" t="e">
        <f>INDEX('[1]RTO Register'!M$2:M$698,MATCH($A301,'[1]RTO Register'!$AA$2:$AA$698,0))</f>
        <v>#N/A</v>
      </c>
      <c r="K301" s="6" t="e">
        <f>INDEX('[1]RTO Register'!N$2:N$698,MATCH($A301,'[1]RTO Register'!$AA$2:$AA$698,0))</f>
        <v>#N/A</v>
      </c>
      <c r="L301" s="6" t="e">
        <f>INDEX('[1]RTO Register'!O$2:O$698,MATCH($A301,'[1]RTO Register'!$AA$2:$AA$698,0))</f>
        <v>#N/A</v>
      </c>
      <c r="M301" s="6" t="e">
        <f>INDEX('[1]RTO Register'!P$2:P$698,MATCH($A301,'[1]RTO Register'!$AA$2:$AA$698,0))</f>
        <v>#N/A</v>
      </c>
      <c r="N301" s="6" t="e">
        <f>INDEX('[1]RTO Register'!Q$2:Q$698,MATCH($A301,'[1]RTO Register'!$AA$2:$AA$698,0))</f>
        <v>#N/A</v>
      </c>
      <c r="O301" s="6" t="e">
        <f>INDEX('[1]RTO Register'!R$2:R$698,MATCH($A301,'[1]RTO Register'!$AA$2:$AA$698,0))</f>
        <v>#N/A</v>
      </c>
      <c r="P301" s="6" t="e">
        <f>INDEX('[1]RTO Register'!S$2:S$698,MATCH($A301,'[1]RTO Register'!$AA$2:$AA$698,0))</f>
        <v>#N/A</v>
      </c>
      <c r="Q301" s="6" t="e">
        <f t="shared" si="9"/>
        <v>#N/A</v>
      </c>
    </row>
    <row r="302" spans="6:17" x14ac:dyDescent="0.25">
      <c r="F302" s="1" t="str">
        <f t="shared" si="8"/>
        <v/>
      </c>
      <c r="G302" s="1" t="str">
        <f>IFERROR(IF(INDEX('[1]RTO Register'!AP$2:AP$698,MATCH($A302,'[1]RTO Register'!$AA$2:$AA$698,0))="Yes","School",""),"")</f>
        <v/>
      </c>
      <c r="H302" s="6" t="e">
        <f>INDEX('[1]RTO Register'!K$2:K$698,MATCH($A302,'[1]RTO Register'!$AA$2:$AA$698,0))</f>
        <v>#N/A</v>
      </c>
      <c r="I302" s="6" t="e">
        <f>INDEX('[1]RTO Register'!L$2:L$698,MATCH($A302,'[1]RTO Register'!$AA$2:$AA$698,0))</f>
        <v>#N/A</v>
      </c>
      <c r="J302" s="6" t="e">
        <f>INDEX('[1]RTO Register'!M$2:M$698,MATCH($A302,'[1]RTO Register'!$AA$2:$AA$698,0))</f>
        <v>#N/A</v>
      </c>
      <c r="K302" s="6" t="e">
        <f>INDEX('[1]RTO Register'!N$2:N$698,MATCH($A302,'[1]RTO Register'!$AA$2:$AA$698,0))</f>
        <v>#N/A</v>
      </c>
      <c r="L302" s="6" t="e">
        <f>INDEX('[1]RTO Register'!O$2:O$698,MATCH($A302,'[1]RTO Register'!$AA$2:$AA$698,0))</f>
        <v>#N/A</v>
      </c>
      <c r="M302" s="6" t="e">
        <f>INDEX('[1]RTO Register'!P$2:P$698,MATCH($A302,'[1]RTO Register'!$AA$2:$AA$698,0))</f>
        <v>#N/A</v>
      </c>
      <c r="N302" s="6" t="e">
        <f>INDEX('[1]RTO Register'!Q$2:Q$698,MATCH($A302,'[1]RTO Register'!$AA$2:$AA$698,0))</f>
        <v>#N/A</v>
      </c>
      <c r="O302" s="6" t="e">
        <f>INDEX('[1]RTO Register'!R$2:R$698,MATCH($A302,'[1]RTO Register'!$AA$2:$AA$698,0))</f>
        <v>#N/A</v>
      </c>
      <c r="P302" s="6" t="e">
        <f>INDEX('[1]RTO Register'!S$2:S$698,MATCH($A302,'[1]RTO Register'!$AA$2:$AA$698,0))</f>
        <v>#N/A</v>
      </c>
      <c r="Q302" s="6" t="e">
        <f t="shared" si="9"/>
        <v>#N/A</v>
      </c>
    </row>
    <row r="303" spans="6:17" x14ac:dyDescent="0.25">
      <c r="F303" s="1" t="str">
        <f t="shared" si="8"/>
        <v/>
      </c>
      <c r="G303" s="1" t="str">
        <f>IFERROR(IF(INDEX('[1]RTO Register'!AP$2:AP$698,MATCH($A303,'[1]RTO Register'!$AA$2:$AA$698,0))="Yes","School",""),"")</f>
        <v/>
      </c>
      <c r="H303" s="6" t="e">
        <f>INDEX('[1]RTO Register'!K$2:K$698,MATCH($A303,'[1]RTO Register'!$AA$2:$AA$698,0))</f>
        <v>#N/A</v>
      </c>
      <c r="I303" s="6" t="e">
        <f>INDEX('[1]RTO Register'!L$2:L$698,MATCH($A303,'[1]RTO Register'!$AA$2:$AA$698,0))</f>
        <v>#N/A</v>
      </c>
      <c r="J303" s="6" t="e">
        <f>INDEX('[1]RTO Register'!M$2:M$698,MATCH($A303,'[1]RTO Register'!$AA$2:$AA$698,0))</f>
        <v>#N/A</v>
      </c>
      <c r="K303" s="6" t="e">
        <f>INDEX('[1]RTO Register'!N$2:N$698,MATCH($A303,'[1]RTO Register'!$AA$2:$AA$698,0))</f>
        <v>#N/A</v>
      </c>
      <c r="L303" s="6" t="e">
        <f>INDEX('[1]RTO Register'!O$2:O$698,MATCH($A303,'[1]RTO Register'!$AA$2:$AA$698,0))</f>
        <v>#N/A</v>
      </c>
      <c r="M303" s="6" t="e">
        <f>INDEX('[1]RTO Register'!P$2:P$698,MATCH($A303,'[1]RTO Register'!$AA$2:$AA$698,0))</f>
        <v>#N/A</v>
      </c>
      <c r="N303" s="6" t="e">
        <f>INDEX('[1]RTO Register'!Q$2:Q$698,MATCH($A303,'[1]RTO Register'!$AA$2:$AA$698,0))</f>
        <v>#N/A</v>
      </c>
      <c r="O303" s="6" t="e">
        <f>INDEX('[1]RTO Register'!R$2:R$698,MATCH($A303,'[1]RTO Register'!$AA$2:$AA$698,0))</f>
        <v>#N/A</v>
      </c>
      <c r="P303" s="6" t="e">
        <f>INDEX('[1]RTO Register'!S$2:S$698,MATCH($A303,'[1]RTO Register'!$AA$2:$AA$698,0))</f>
        <v>#N/A</v>
      </c>
      <c r="Q303" s="6" t="e">
        <f t="shared" si="9"/>
        <v>#N/A</v>
      </c>
    </row>
    <row r="304" spans="6:17" x14ac:dyDescent="0.25">
      <c r="F304" s="1" t="str">
        <f t="shared" si="8"/>
        <v/>
      </c>
      <c r="G304" s="1" t="str">
        <f>IFERROR(IF(INDEX('[1]RTO Register'!AP$2:AP$698,MATCH($A304,'[1]RTO Register'!$AA$2:$AA$698,0))="Yes","School",""),"")</f>
        <v/>
      </c>
      <c r="H304" s="6" t="e">
        <f>INDEX('[1]RTO Register'!K$2:K$698,MATCH($A304,'[1]RTO Register'!$AA$2:$AA$698,0))</f>
        <v>#N/A</v>
      </c>
      <c r="I304" s="6" t="e">
        <f>INDEX('[1]RTO Register'!L$2:L$698,MATCH($A304,'[1]RTO Register'!$AA$2:$AA$698,0))</f>
        <v>#N/A</v>
      </c>
      <c r="J304" s="6" t="e">
        <f>INDEX('[1]RTO Register'!M$2:M$698,MATCH($A304,'[1]RTO Register'!$AA$2:$AA$698,0))</f>
        <v>#N/A</v>
      </c>
      <c r="K304" s="6" t="e">
        <f>INDEX('[1]RTO Register'!N$2:N$698,MATCH($A304,'[1]RTO Register'!$AA$2:$AA$698,0))</f>
        <v>#N/A</v>
      </c>
      <c r="L304" s="6" t="e">
        <f>INDEX('[1]RTO Register'!O$2:O$698,MATCH($A304,'[1]RTO Register'!$AA$2:$AA$698,0))</f>
        <v>#N/A</v>
      </c>
      <c r="M304" s="6" t="e">
        <f>INDEX('[1]RTO Register'!P$2:P$698,MATCH($A304,'[1]RTO Register'!$AA$2:$AA$698,0))</f>
        <v>#N/A</v>
      </c>
      <c r="N304" s="6" t="e">
        <f>INDEX('[1]RTO Register'!Q$2:Q$698,MATCH($A304,'[1]RTO Register'!$AA$2:$AA$698,0))</f>
        <v>#N/A</v>
      </c>
      <c r="O304" s="6" t="e">
        <f>INDEX('[1]RTO Register'!R$2:R$698,MATCH($A304,'[1]RTO Register'!$AA$2:$AA$698,0))</f>
        <v>#N/A</v>
      </c>
      <c r="P304" s="6" t="e">
        <f>INDEX('[1]RTO Register'!S$2:S$698,MATCH($A304,'[1]RTO Register'!$AA$2:$AA$698,0))</f>
        <v>#N/A</v>
      </c>
      <c r="Q304" s="6" t="e">
        <f t="shared" si="9"/>
        <v>#N/A</v>
      </c>
    </row>
    <row r="305" spans="6:17" x14ac:dyDescent="0.25">
      <c r="F305" s="1" t="str">
        <f t="shared" si="8"/>
        <v/>
      </c>
      <c r="G305" s="1" t="str">
        <f>IFERROR(IF(INDEX('[1]RTO Register'!AP$2:AP$698,MATCH($A305,'[1]RTO Register'!$AA$2:$AA$698,0))="Yes","School",""),"")</f>
        <v/>
      </c>
      <c r="H305" s="6" t="e">
        <f>INDEX('[1]RTO Register'!K$2:K$698,MATCH($A305,'[1]RTO Register'!$AA$2:$AA$698,0))</f>
        <v>#N/A</v>
      </c>
      <c r="I305" s="6" t="e">
        <f>INDEX('[1]RTO Register'!L$2:L$698,MATCH($A305,'[1]RTO Register'!$AA$2:$AA$698,0))</f>
        <v>#N/A</v>
      </c>
      <c r="J305" s="6" t="e">
        <f>INDEX('[1]RTO Register'!M$2:M$698,MATCH($A305,'[1]RTO Register'!$AA$2:$AA$698,0))</f>
        <v>#N/A</v>
      </c>
      <c r="K305" s="6" t="e">
        <f>INDEX('[1]RTO Register'!N$2:N$698,MATCH($A305,'[1]RTO Register'!$AA$2:$AA$698,0))</f>
        <v>#N/A</v>
      </c>
      <c r="L305" s="6" t="e">
        <f>INDEX('[1]RTO Register'!O$2:O$698,MATCH($A305,'[1]RTO Register'!$AA$2:$AA$698,0))</f>
        <v>#N/A</v>
      </c>
      <c r="M305" s="6" t="e">
        <f>INDEX('[1]RTO Register'!P$2:P$698,MATCH($A305,'[1]RTO Register'!$AA$2:$AA$698,0))</f>
        <v>#N/A</v>
      </c>
      <c r="N305" s="6" t="e">
        <f>INDEX('[1]RTO Register'!Q$2:Q$698,MATCH($A305,'[1]RTO Register'!$AA$2:$AA$698,0))</f>
        <v>#N/A</v>
      </c>
      <c r="O305" s="6" t="e">
        <f>INDEX('[1]RTO Register'!R$2:R$698,MATCH($A305,'[1]RTO Register'!$AA$2:$AA$698,0))</f>
        <v>#N/A</v>
      </c>
      <c r="P305" s="6" t="e">
        <f>INDEX('[1]RTO Register'!S$2:S$698,MATCH($A305,'[1]RTO Register'!$AA$2:$AA$698,0))</f>
        <v>#N/A</v>
      </c>
      <c r="Q305" s="6" t="e">
        <f t="shared" si="9"/>
        <v>#N/A</v>
      </c>
    </row>
    <row r="306" spans="6:17" x14ac:dyDescent="0.25">
      <c r="F306" s="1" t="str">
        <f t="shared" si="8"/>
        <v/>
      </c>
      <c r="G306" s="1" t="str">
        <f>IFERROR(IF(INDEX('[1]RTO Register'!AP$2:AP$698,MATCH($A306,'[1]RTO Register'!$AA$2:$AA$698,0))="Yes","School",""),"")</f>
        <v/>
      </c>
      <c r="H306" s="6" t="e">
        <f>INDEX('[1]RTO Register'!K$2:K$698,MATCH($A306,'[1]RTO Register'!$AA$2:$AA$698,0))</f>
        <v>#N/A</v>
      </c>
      <c r="I306" s="6" t="e">
        <f>INDEX('[1]RTO Register'!L$2:L$698,MATCH($A306,'[1]RTO Register'!$AA$2:$AA$698,0))</f>
        <v>#N/A</v>
      </c>
      <c r="J306" s="6" t="e">
        <f>INDEX('[1]RTO Register'!M$2:M$698,MATCH($A306,'[1]RTO Register'!$AA$2:$AA$698,0))</f>
        <v>#N/A</v>
      </c>
      <c r="K306" s="6" t="e">
        <f>INDEX('[1]RTO Register'!N$2:N$698,MATCH($A306,'[1]RTO Register'!$AA$2:$AA$698,0))</f>
        <v>#N/A</v>
      </c>
      <c r="L306" s="6" t="e">
        <f>INDEX('[1]RTO Register'!O$2:O$698,MATCH($A306,'[1]RTO Register'!$AA$2:$AA$698,0))</f>
        <v>#N/A</v>
      </c>
      <c r="M306" s="6" t="e">
        <f>INDEX('[1]RTO Register'!P$2:P$698,MATCH($A306,'[1]RTO Register'!$AA$2:$AA$698,0))</f>
        <v>#N/A</v>
      </c>
      <c r="N306" s="6" t="e">
        <f>INDEX('[1]RTO Register'!Q$2:Q$698,MATCH($A306,'[1]RTO Register'!$AA$2:$AA$698,0))</f>
        <v>#N/A</v>
      </c>
      <c r="O306" s="6" t="e">
        <f>INDEX('[1]RTO Register'!R$2:R$698,MATCH($A306,'[1]RTO Register'!$AA$2:$AA$698,0))</f>
        <v>#N/A</v>
      </c>
      <c r="P306" s="6" t="e">
        <f>INDEX('[1]RTO Register'!S$2:S$698,MATCH($A306,'[1]RTO Register'!$AA$2:$AA$698,0))</f>
        <v>#N/A</v>
      </c>
      <c r="Q306" s="6" t="e">
        <f t="shared" si="9"/>
        <v>#N/A</v>
      </c>
    </row>
    <row r="307" spans="6:17" x14ac:dyDescent="0.25">
      <c r="F307" s="1" t="str">
        <f t="shared" si="8"/>
        <v/>
      </c>
      <c r="G307" s="1" t="str">
        <f>IFERROR(IF(INDEX('[1]RTO Register'!AP$2:AP$698,MATCH($A307,'[1]RTO Register'!$AA$2:$AA$698,0))="Yes","School",""),"")</f>
        <v/>
      </c>
      <c r="H307" s="6" t="e">
        <f>INDEX('[1]RTO Register'!K$2:K$698,MATCH($A307,'[1]RTO Register'!$AA$2:$AA$698,0))</f>
        <v>#N/A</v>
      </c>
      <c r="I307" s="6" t="e">
        <f>INDEX('[1]RTO Register'!L$2:L$698,MATCH($A307,'[1]RTO Register'!$AA$2:$AA$698,0))</f>
        <v>#N/A</v>
      </c>
      <c r="J307" s="6" t="e">
        <f>INDEX('[1]RTO Register'!M$2:M$698,MATCH($A307,'[1]RTO Register'!$AA$2:$AA$698,0))</f>
        <v>#N/A</v>
      </c>
      <c r="K307" s="6" t="e">
        <f>INDEX('[1]RTO Register'!N$2:N$698,MATCH($A307,'[1]RTO Register'!$AA$2:$AA$698,0))</f>
        <v>#N/A</v>
      </c>
      <c r="L307" s="6" t="e">
        <f>INDEX('[1]RTO Register'!O$2:O$698,MATCH($A307,'[1]RTO Register'!$AA$2:$AA$698,0))</f>
        <v>#N/A</v>
      </c>
      <c r="M307" s="6" t="e">
        <f>INDEX('[1]RTO Register'!P$2:P$698,MATCH($A307,'[1]RTO Register'!$AA$2:$AA$698,0))</f>
        <v>#N/A</v>
      </c>
      <c r="N307" s="6" t="e">
        <f>INDEX('[1]RTO Register'!Q$2:Q$698,MATCH($A307,'[1]RTO Register'!$AA$2:$AA$698,0))</f>
        <v>#N/A</v>
      </c>
      <c r="O307" s="6" t="e">
        <f>INDEX('[1]RTO Register'!R$2:R$698,MATCH($A307,'[1]RTO Register'!$AA$2:$AA$698,0))</f>
        <v>#N/A</v>
      </c>
      <c r="P307" s="6" t="e">
        <f>INDEX('[1]RTO Register'!S$2:S$698,MATCH($A307,'[1]RTO Register'!$AA$2:$AA$698,0))</f>
        <v>#N/A</v>
      </c>
      <c r="Q307" s="6" t="e">
        <f t="shared" si="9"/>
        <v>#N/A</v>
      </c>
    </row>
    <row r="308" spans="6:17" x14ac:dyDescent="0.25">
      <c r="F308" s="1" t="str">
        <f t="shared" si="8"/>
        <v/>
      </c>
      <c r="G308" s="1" t="str">
        <f>IFERROR(IF(INDEX('[1]RTO Register'!AP$2:AP$698,MATCH($A308,'[1]RTO Register'!$AA$2:$AA$698,0))="Yes","School",""),"")</f>
        <v/>
      </c>
      <c r="H308" s="6" t="e">
        <f>INDEX('[1]RTO Register'!K$2:K$698,MATCH($A308,'[1]RTO Register'!$AA$2:$AA$698,0))</f>
        <v>#N/A</v>
      </c>
      <c r="I308" s="6" t="e">
        <f>INDEX('[1]RTO Register'!L$2:L$698,MATCH($A308,'[1]RTO Register'!$AA$2:$AA$698,0))</f>
        <v>#N/A</v>
      </c>
      <c r="J308" s="6" t="e">
        <f>INDEX('[1]RTO Register'!M$2:M$698,MATCH($A308,'[1]RTO Register'!$AA$2:$AA$698,0))</f>
        <v>#N/A</v>
      </c>
      <c r="K308" s="6" t="e">
        <f>INDEX('[1]RTO Register'!N$2:N$698,MATCH($A308,'[1]RTO Register'!$AA$2:$AA$698,0))</f>
        <v>#N/A</v>
      </c>
      <c r="L308" s="6" t="e">
        <f>INDEX('[1]RTO Register'!O$2:O$698,MATCH($A308,'[1]RTO Register'!$AA$2:$AA$698,0))</f>
        <v>#N/A</v>
      </c>
      <c r="M308" s="6" t="e">
        <f>INDEX('[1]RTO Register'!P$2:P$698,MATCH($A308,'[1]RTO Register'!$AA$2:$AA$698,0))</f>
        <v>#N/A</v>
      </c>
      <c r="N308" s="6" t="e">
        <f>INDEX('[1]RTO Register'!Q$2:Q$698,MATCH($A308,'[1]RTO Register'!$AA$2:$AA$698,0))</f>
        <v>#N/A</v>
      </c>
      <c r="O308" s="6" t="e">
        <f>INDEX('[1]RTO Register'!R$2:R$698,MATCH($A308,'[1]RTO Register'!$AA$2:$AA$698,0))</f>
        <v>#N/A</v>
      </c>
      <c r="P308" s="6" t="e">
        <f>INDEX('[1]RTO Register'!S$2:S$698,MATCH($A308,'[1]RTO Register'!$AA$2:$AA$698,0))</f>
        <v>#N/A</v>
      </c>
      <c r="Q308" s="6" t="e">
        <f t="shared" si="9"/>
        <v>#N/A</v>
      </c>
    </row>
    <row r="309" spans="6:17" x14ac:dyDescent="0.25">
      <c r="F309" s="1" t="str">
        <f t="shared" si="8"/>
        <v/>
      </c>
      <c r="G309" s="1" t="str">
        <f>IFERROR(IF(INDEX('[1]RTO Register'!AP$2:AP$698,MATCH($A309,'[1]RTO Register'!$AA$2:$AA$698,0))="Yes","School",""),"")</f>
        <v/>
      </c>
      <c r="H309" s="6" t="e">
        <f>INDEX('[1]RTO Register'!K$2:K$698,MATCH($A309,'[1]RTO Register'!$AA$2:$AA$698,0))</f>
        <v>#N/A</v>
      </c>
      <c r="I309" s="6" t="e">
        <f>INDEX('[1]RTO Register'!L$2:L$698,MATCH($A309,'[1]RTO Register'!$AA$2:$AA$698,0))</f>
        <v>#N/A</v>
      </c>
      <c r="J309" s="6" t="e">
        <f>INDEX('[1]RTO Register'!M$2:M$698,MATCH($A309,'[1]RTO Register'!$AA$2:$AA$698,0))</f>
        <v>#N/A</v>
      </c>
      <c r="K309" s="6" t="e">
        <f>INDEX('[1]RTO Register'!N$2:N$698,MATCH($A309,'[1]RTO Register'!$AA$2:$AA$698,0))</f>
        <v>#N/A</v>
      </c>
      <c r="L309" s="6" t="e">
        <f>INDEX('[1]RTO Register'!O$2:O$698,MATCH($A309,'[1]RTO Register'!$AA$2:$AA$698,0))</f>
        <v>#N/A</v>
      </c>
      <c r="M309" s="6" t="e">
        <f>INDEX('[1]RTO Register'!P$2:P$698,MATCH($A309,'[1]RTO Register'!$AA$2:$AA$698,0))</f>
        <v>#N/A</v>
      </c>
      <c r="N309" s="6" t="e">
        <f>INDEX('[1]RTO Register'!Q$2:Q$698,MATCH($A309,'[1]RTO Register'!$AA$2:$AA$698,0))</f>
        <v>#N/A</v>
      </c>
      <c r="O309" s="6" t="e">
        <f>INDEX('[1]RTO Register'!R$2:R$698,MATCH($A309,'[1]RTO Register'!$AA$2:$AA$698,0))</f>
        <v>#N/A</v>
      </c>
      <c r="P309" s="6" t="e">
        <f>INDEX('[1]RTO Register'!S$2:S$698,MATCH($A309,'[1]RTO Register'!$AA$2:$AA$698,0))</f>
        <v>#N/A</v>
      </c>
      <c r="Q309" s="6" t="e">
        <f t="shared" si="9"/>
        <v>#N/A</v>
      </c>
    </row>
    <row r="310" spans="6:17" x14ac:dyDescent="0.25">
      <c r="F310" s="1" t="str">
        <f t="shared" si="8"/>
        <v/>
      </c>
      <c r="G310" s="1" t="str">
        <f>IFERROR(IF(INDEX('[1]RTO Register'!AP$2:AP$698,MATCH($A310,'[1]RTO Register'!$AA$2:$AA$698,0))="Yes","School",""),"")</f>
        <v/>
      </c>
      <c r="H310" s="6" t="e">
        <f>INDEX('[1]RTO Register'!K$2:K$698,MATCH($A310,'[1]RTO Register'!$AA$2:$AA$698,0))</f>
        <v>#N/A</v>
      </c>
      <c r="I310" s="6" t="e">
        <f>INDEX('[1]RTO Register'!L$2:L$698,MATCH($A310,'[1]RTO Register'!$AA$2:$AA$698,0))</f>
        <v>#N/A</v>
      </c>
      <c r="J310" s="6" t="e">
        <f>INDEX('[1]RTO Register'!M$2:M$698,MATCH($A310,'[1]RTO Register'!$AA$2:$AA$698,0))</f>
        <v>#N/A</v>
      </c>
      <c r="K310" s="6" t="e">
        <f>INDEX('[1]RTO Register'!N$2:N$698,MATCH($A310,'[1]RTO Register'!$AA$2:$AA$698,0))</f>
        <v>#N/A</v>
      </c>
      <c r="L310" s="6" t="e">
        <f>INDEX('[1]RTO Register'!O$2:O$698,MATCH($A310,'[1]RTO Register'!$AA$2:$AA$698,0))</f>
        <v>#N/A</v>
      </c>
      <c r="M310" s="6" t="e">
        <f>INDEX('[1]RTO Register'!P$2:P$698,MATCH($A310,'[1]RTO Register'!$AA$2:$AA$698,0))</f>
        <v>#N/A</v>
      </c>
      <c r="N310" s="6" t="e">
        <f>INDEX('[1]RTO Register'!Q$2:Q$698,MATCH($A310,'[1]RTO Register'!$AA$2:$AA$698,0))</f>
        <v>#N/A</v>
      </c>
      <c r="O310" s="6" t="e">
        <f>INDEX('[1]RTO Register'!R$2:R$698,MATCH($A310,'[1]RTO Register'!$AA$2:$AA$698,0))</f>
        <v>#N/A</v>
      </c>
      <c r="P310" s="6" t="e">
        <f>INDEX('[1]RTO Register'!S$2:S$698,MATCH($A310,'[1]RTO Register'!$AA$2:$AA$698,0))</f>
        <v>#N/A</v>
      </c>
      <c r="Q310" s="6" t="e">
        <f t="shared" si="9"/>
        <v>#N/A</v>
      </c>
    </row>
    <row r="311" spans="6:17" x14ac:dyDescent="0.25">
      <c r="F311" s="1" t="str">
        <f t="shared" si="8"/>
        <v/>
      </c>
      <c r="G311" s="1" t="str">
        <f>IFERROR(IF(INDEX('[1]RTO Register'!AP$2:AP$698,MATCH($A311,'[1]RTO Register'!$AA$2:$AA$698,0))="Yes","School",""),"")</f>
        <v/>
      </c>
      <c r="H311" s="6" t="e">
        <f>INDEX('[1]RTO Register'!K$2:K$698,MATCH($A311,'[1]RTO Register'!$AA$2:$AA$698,0))</f>
        <v>#N/A</v>
      </c>
      <c r="I311" s="6" t="e">
        <f>INDEX('[1]RTO Register'!L$2:L$698,MATCH($A311,'[1]RTO Register'!$AA$2:$AA$698,0))</f>
        <v>#N/A</v>
      </c>
      <c r="J311" s="6" t="e">
        <f>INDEX('[1]RTO Register'!M$2:M$698,MATCH($A311,'[1]RTO Register'!$AA$2:$AA$698,0))</f>
        <v>#N/A</v>
      </c>
      <c r="K311" s="6" t="e">
        <f>INDEX('[1]RTO Register'!N$2:N$698,MATCH($A311,'[1]RTO Register'!$AA$2:$AA$698,0))</f>
        <v>#N/A</v>
      </c>
      <c r="L311" s="6" t="e">
        <f>INDEX('[1]RTO Register'!O$2:O$698,MATCH($A311,'[1]RTO Register'!$AA$2:$AA$698,0))</f>
        <v>#N/A</v>
      </c>
      <c r="M311" s="6" t="e">
        <f>INDEX('[1]RTO Register'!P$2:P$698,MATCH($A311,'[1]RTO Register'!$AA$2:$AA$698,0))</f>
        <v>#N/A</v>
      </c>
      <c r="N311" s="6" t="e">
        <f>INDEX('[1]RTO Register'!Q$2:Q$698,MATCH($A311,'[1]RTO Register'!$AA$2:$AA$698,0))</f>
        <v>#N/A</v>
      </c>
      <c r="O311" s="6" t="e">
        <f>INDEX('[1]RTO Register'!R$2:R$698,MATCH($A311,'[1]RTO Register'!$AA$2:$AA$698,0))</f>
        <v>#N/A</v>
      </c>
      <c r="P311" s="6" t="e">
        <f>INDEX('[1]RTO Register'!S$2:S$698,MATCH($A311,'[1]RTO Register'!$AA$2:$AA$698,0))</f>
        <v>#N/A</v>
      </c>
      <c r="Q311" s="6" t="e">
        <f t="shared" si="9"/>
        <v>#N/A</v>
      </c>
    </row>
    <row r="312" spans="6:17" x14ac:dyDescent="0.25">
      <c r="F312" s="1" t="str">
        <f t="shared" si="8"/>
        <v/>
      </c>
      <c r="G312" s="1" t="str">
        <f>IFERROR(IF(INDEX('[1]RTO Register'!AP$2:AP$698,MATCH($A312,'[1]RTO Register'!$AA$2:$AA$698,0))="Yes","School",""),"")</f>
        <v/>
      </c>
      <c r="H312" s="6" t="e">
        <f>INDEX('[1]RTO Register'!K$2:K$698,MATCH($A312,'[1]RTO Register'!$AA$2:$AA$698,0))</f>
        <v>#N/A</v>
      </c>
      <c r="I312" s="6" t="e">
        <f>INDEX('[1]RTO Register'!L$2:L$698,MATCH($A312,'[1]RTO Register'!$AA$2:$AA$698,0))</f>
        <v>#N/A</v>
      </c>
      <c r="J312" s="6" t="e">
        <f>INDEX('[1]RTO Register'!M$2:M$698,MATCH($A312,'[1]RTO Register'!$AA$2:$AA$698,0))</f>
        <v>#N/A</v>
      </c>
      <c r="K312" s="6" t="e">
        <f>INDEX('[1]RTO Register'!N$2:N$698,MATCH($A312,'[1]RTO Register'!$AA$2:$AA$698,0))</f>
        <v>#N/A</v>
      </c>
      <c r="L312" s="6" t="e">
        <f>INDEX('[1]RTO Register'!O$2:O$698,MATCH($A312,'[1]RTO Register'!$AA$2:$AA$698,0))</f>
        <v>#N/A</v>
      </c>
      <c r="M312" s="6" t="e">
        <f>INDEX('[1]RTO Register'!P$2:P$698,MATCH($A312,'[1]RTO Register'!$AA$2:$AA$698,0))</f>
        <v>#N/A</v>
      </c>
      <c r="N312" s="6" t="e">
        <f>INDEX('[1]RTO Register'!Q$2:Q$698,MATCH($A312,'[1]RTO Register'!$AA$2:$AA$698,0))</f>
        <v>#N/A</v>
      </c>
      <c r="O312" s="6" t="e">
        <f>INDEX('[1]RTO Register'!R$2:R$698,MATCH($A312,'[1]RTO Register'!$AA$2:$AA$698,0))</f>
        <v>#N/A</v>
      </c>
      <c r="P312" s="6" t="e">
        <f>INDEX('[1]RTO Register'!S$2:S$698,MATCH($A312,'[1]RTO Register'!$AA$2:$AA$698,0))</f>
        <v>#N/A</v>
      </c>
      <c r="Q312" s="6" t="e">
        <f t="shared" si="9"/>
        <v>#N/A</v>
      </c>
    </row>
    <row r="313" spans="6:17" x14ac:dyDescent="0.25">
      <c r="F313" s="1" t="str">
        <f t="shared" si="8"/>
        <v/>
      </c>
      <c r="G313" s="1" t="str">
        <f>IFERROR(IF(INDEX('[1]RTO Register'!AP$2:AP$698,MATCH($A313,'[1]RTO Register'!$AA$2:$AA$698,0))="Yes","School",""),"")</f>
        <v/>
      </c>
      <c r="H313" s="6" t="e">
        <f>INDEX('[1]RTO Register'!K$2:K$698,MATCH($A313,'[1]RTO Register'!$AA$2:$AA$698,0))</f>
        <v>#N/A</v>
      </c>
      <c r="I313" s="6" t="e">
        <f>INDEX('[1]RTO Register'!L$2:L$698,MATCH($A313,'[1]RTO Register'!$AA$2:$AA$698,0))</f>
        <v>#N/A</v>
      </c>
      <c r="J313" s="6" t="e">
        <f>INDEX('[1]RTO Register'!M$2:M$698,MATCH($A313,'[1]RTO Register'!$AA$2:$AA$698,0))</f>
        <v>#N/A</v>
      </c>
      <c r="K313" s="6" t="e">
        <f>INDEX('[1]RTO Register'!N$2:N$698,MATCH($A313,'[1]RTO Register'!$AA$2:$AA$698,0))</f>
        <v>#N/A</v>
      </c>
      <c r="L313" s="6" t="e">
        <f>INDEX('[1]RTO Register'!O$2:O$698,MATCH($A313,'[1]RTO Register'!$AA$2:$AA$698,0))</f>
        <v>#N/A</v>
      </c>
      <c r="M313" s="6" t="e">
        <f>INDEX('[1]RTO Register'!P$2:P$698,MATCH($A313,'[1]RTO Register'!$AA$2:$AA$698,0))</f>
        <v>#N/A</v>
      </c>
      <c r="N313" s="6" t="e">
        <f>INDEX('[1]RTO Register'!Q$2:Q$698,MATCH($A313,'[1]RTO Register'!$AA$2:$AA$698,0))</f>
        <v>#N/A</v>
      </c>
      <c r="O313" s="6" t="e">
        <f>INDEX('[1]RTO Register'!R$2:R$698,MATCH($A313,'[1]RTO Register'!$AA$2:$AA$698,0))</f>
        <v>#N/A</v>
      </c>
      <c r="P313" s="6" t="e">
        <f>INDEX('[1]RTO Register'!S$2:S$698,MATCH($A313,'[1]RTO Register'!$AA$2:$AA$698,0))</f>
        <v>#N/A</v>
      </c>
      <c r="Q313" s="6" t="e">
        <f t="shared" si="9"/>
        <v>#N/A</v>
      </c>
    </row>
    <row r="314" spans="6:17" x14ac:dyDescent="0.25">
      <c r="F314" s="1" t="str">
        <f t="shared" si="8"/>
        <v/>
      </c>
      <c r="G314" s="1" t="str">
        <f>IFERROR(IF(INDEX('[1]RTO Register'!AP$2:AP$698,MATCH($A314,'[1]RTO Register'!$AA$2:$AA$698,0))="Yes","School",""),"")</f>
        <v/>
      </c>
      <c r="H314" s="6" t="e">
        <f>INDEX('[1]RTO Register'!K$2:K$698,MATCH($A314,'[1]RTO Register'!$AA$2:$AA$698,0))</f>
        <v>#N/A</v>
      </c>
      <c r="I314" s="6" t="e">
        <f>INDEX('[1]RTO Register'!L$2:L$698,MATCH($A314,'[1]RTO Register'!$AA$2:$AA$698,0))</f>
        <v>#N/A</v>
      </c>
      <c r="J314" s="6" t="e">
        <f>INDEX('[1]RTO Register'!M$2:M$698,MATCH($A314,'[1]RTO Register'!$AA$2:$AA$698,0))</f>
        <v>#N/A</v>
      </c>
      <c r="K314" s="6" t="e">
        <f>INDEX('[1]RTO Register'!N$2:N$698,MATCH($A314,'[1]RTO Register'!$AA$2:$AA$698,0))</f>
        <v>#N/A</v>
      </c>
      <c r="L314" s="6" t="e">
        <f>INDEX('[1]RTO Register'!O$2:O$698,MATCH($A314,'[1]RTO Register'!$AA$2:$AA$698,0))</f>
        <v>#N/A</v>
      </c>
      <c r="M314" s="6" t="e">
        <f>INDEX('[1]RTO Register'!P$2:P$698,MATCH($A314,'[1]RTO Register'!$AA$2:$AA$698,0))</f>
        <v>#N/A</v>
      </c>
      <c r="N314" s="6" t="e">
        <f>INDEX('[1]RTO Register'!Q$2:Q$698,MATCH($A314,'[1]RTO Register'!$AA$2:$AA$698,0))</f>
        <v>#N/A</v>
      </c>
      <c r="O314" s="6" t="e">
        <f>INDEX('[1]RTO Register'!R$2:R$698,MATCH($A314,'[1]RTO Register'!$AA$2:$AA$698,0))</f>
        <v>#N/A</v>
      </c>
      <c r="P314" s="6" t="e">
        <f>INDEX('[1]RTO Register'!S$2:S$698,MATCH($A314,'[1]RTO Register'!$AA$2:$AA$698,0))</f>
        <v>#N/A</v>
      </c>
      <c r="Q314" s="6" t="e">
        <f t="shared" si="9"/>
        <v>#N/A</v>
      </c>
    </row>
    <row r="315" spans="6:17" x14ac:dyDescent="0.25">
      <c r="F315" s="1" t="str">
        <f t="shared" si="8"/>
        <v/>
      </c>
      <c r="G315" s="1" t="str">
        <f>IFERROR(IF(INDEX('[1]RTO Register'!AP$2:AP$698,MATCH($A315,'[1]RTO Register'!$AA$2:$AA$698,0))="Yes","School",""),"")</f>
        <v/>
      </c>
      <c r="H315" s="6" t="e">
        <f>INDEX('[1]RTO Register'!K$2:K$698,MATCH($A315,'[1]RTO Register'!$AA$2:$AA$698,0))</f>
        <v>#N/A</v>
      </c>
      <c r="I315" s="6" t="e">
        <f>INDEX('[1]RTO Register'!L$2:L$698,MATCH($A315,'[1]RTO Register'!$AA$2:$AA$698,0))</f>
        <v>#N/A</v>
      </c>
      <c r="J315" s="6" t="e">
        <f>INDEX('[1]RTO Register'!M$2:M$698,MATCH($A315,'[1]RTO Register'!$AA$2:$AA$698,0))</f>
        <v>#N/A</v>
      </c>
      <c r="K315" s="6" t="e">
        <f>INDEX('[1]RTO Register'!N$2:N$698,MATCH($A315,'[1]RTO Register'!$AA$2:$AA$698,0))</f>
        <v>#N/A</v>
      </c>
      <c r="L315" s="6" t="e">
        <f>INDEX('[1]RTO Register'!O$2:O$698,MATCH($A315,'[1]RTO Register'!$AA$2:$AA$698,0))</f>
        <v>#N/A</v>
      </c>
      <c r="M315" s="6" t="e">
        <f>INDEX('[1]RTO Register'!P$2:P$698,MATCH($A315,'[1]RTO Register'!$AA$2:$AA$698,0))</f>
        <v>#N/A</v>
      </c>
      <c r="N315" s="6" t="e">
        <f>INDEX('[1]RTO Register'!Q$2:Q$698,MATCH($A315,'[1]RTO Register'!$AA$2:$AA$698,0))</f>
        <v>#N/A</v>
      </c>
      <c r="O315" s="6" t="e">
        <f>INDEX('[1]RTO Register'!R$2:R$698,MATCH($A315,'[1]RTO Register'!$AA$2:$AA$698,0))</f>
        <v>#N/A</v>
      </c>
      <c r="P315" s="6" t="e">
        <f>INDEX('[1]RTO Register'!S$2:S$698,MATCH($A315,'[1]RTO Register'!$AA$2:$AA$698,0))</f>
        <v>#N/A</v>
      </c>
      <c r="Q315" s="6" t="e">
        <f t="shared" si="9"/>
        <v>#N/A</v>
      </c>
    </row>
    <row r="316" spans="6:17" x14ac:dyDescent="0.25">
      <c r="F316" s="1" t="str">
        <f t="shared" si="8"/>
        <v/>
      </c>
      <c r="G316" s="1" t="str">
        <f>IFERROR(IF(INDEX('[1]RTO Register'!AP$2:AP$698,MATCH($A316,'[1]RTO Register'!$AA$2:$AA$698,0))="Yes","School",""),"")</f>
        <v/>
      </c>
      <c r="H316" s="6" t="e">
        <f>INDEX('[1]RTO Register'!K$2:K$698,MATCH($A316,'[1]RTO Register'!$AA$2:$AA$698,0))</f>
        <v>#N/A</v>
      </c>
      <c r="I316" s="6" t="e">
        <f>INDEX('[1]RTO Register'!L$2:L$698,MATCH($A316,'[1]RTO Register'!$AA$2:$AA$698,0))</f>
        <v>#N/A</v>
      </c>
      <c r="J316" s="6" t="e">
        <f>INDEX('[1]RTO Register'!M$2:M$698,MATCH($A316,'[1]RTO Register'!$AA$2:$AA$698,0))</f>
        <v>#N/A</v>
      </c>
      <c r="K316" s="6" t="e">
        <f>INDEX('[1]RTO Register'!N$2:N$698,MATCH($A316,'[1]RTO Register'!$AA$2:$AA$698,0))</f>
        <v>#N/A</v>
      </c>
      <c r="L316" s="6" t="e">
        <f>INDEX('[1]RTO Register'!O$2:O$698,MATCH($A316,'[1]RTO Register'!$AA$2:$AA$698,0))</f>
        <v>#N/A</v>
      </c>
      <c r="M316" s="6" t="e">
        <f>INDEX('[1]RTO Register'!P$2:P$698,MATCH($A316,'[1]RTO Register'!$AA$2:$AA$698,0))</f>
        <v>#N/A</v>
      </c>
      <c r="N316" s="6" t="e">
        <f>INDEX('[1]RTO Register'!Q$2:Q$698,MATCH($A316,'[1]RTO Register'!$AA$2:$AA$698,0))</f>
        <v>#N/A</v>
      </c>
      <c r="O316" s="6" t="e">
        <f>INDEX('[1]RTO Register'!R$2:R$698,MATCH($A316,'[1]RTO Register'!$AA$2:$AA$698,0))</f>
        <v>#N/A</v>
      </c>
      <c r="P316" s="6" t="e">
        <f>INDEX('[1]RTO Register'!S$2:S$698,MATCH($A316,'[1]RTO Register'!$AA$2:$AA$698,0))</f>
        <v>#N/A</v>
      </c>
      <c r="Q316" s="6" t="e">
        <f t="shared" si="9"/>
        <v>#N/A</v>
      </c>
    </row>
    <row r="317" spans="6:17" x14ac:dyDescent="0.25">
      <c r="F317" s="1" t="str">
        <f t="shared" si="8"/>
        <v/>
      </c>
      <c r="G317" s="1" t="str">
        <f>IFERROR(IF(INDEX('[1]RTO Register'!AP$2:AP$698,MATCH($A317,'[1]RTO Register'!$AA$2:$AA$698,0))="Yes","School",""),"")</f>
        <v/>
      </c>
      <c r="H317" s="6" t="e">
        <f>INDEX('[1]RTO Register'!K$2:K$698,MATCH($A317,'[1]RTO Register'!$AA$2:$AA$698,0))</f>
        <v>#N/A</v>
      </c>
      <c r="I317" s="6" t="e">
        <f>INDEX('[1]RTO Register'!L$2:L$698,MATCH($A317,'[1]RTO Register'!$AA$2:$AA$698,0))</f>
        <v>#N/A</v>
      </c>
      <c r="J317" s="6" t="e">
        <f>INDEX('[1]RTO Register'!M$2:M$698,MATCH($A317,'[1]RTO Register'!$AA$2:$AA$698,0))</f>
        <v>#N/A</v>
      </c>
      <c r="K317" s="6" t="e">
        <f>INDEX('[1]RTO Register'!N$2:N$698,MATCH($A317,'[1]RTO Register'!$AA$2:$AA$698,0))</f>
        <v>#N/A</v>
      </c>
      <c r="L317" s="6" t="e">
        <f>INDEX('[1]RTO Register'!O$2:O$698,MATCH($A317,'[1]RTO Register'!$AA$2:$AA$698,0))</f>
        <v>#N/A</v>
      </c>
      <c r="M317" s="6" t="e">
        <f>INDEX('[1]RTO Register'!P$2:P$698,MATCH($A317,'[1]RTO Register'!$AA$2:$AA$698,0))</f>
        <v>#N/A</v>
      </c>
      <c r="N317" s="6" t="e">
        <f>INDEX('[1]RTO Register'!Q$2:Q$698,MATCH($A317,'[1]RTO Register'!$AA$2:$AA$698,0))</f>
        <v>#N/A</v>
      </c>
      <c r="O317" s="6" t="e">
        <f>INDEX('[1]RTO Register'!R$2:R$698,MATCH($A317,'[1]RTO Register'!$AA$2:$AA$698,0))</f>
        <v>#N/A</v>
      </c>
      <c r="P317" s="6" t="e">
        <f>INDEX('[1]RTO Register'!S$2:S$698,MATCH($A317,'[1]RTO Register'!$AA$2:$AA$698,0))</f>
        <v>#N/A</v>
      </c>
      <c r="Q317" s="6" t="e">
        <f t="shared" si="9"/>
        <v>#N/A</v>
      </c>
    </row>
    <row r="318" spans="6:17" x14ac:dyDescent="0.25">
      <c r="F318" s="1" t="str">
        <f t="shared" si="8"/>
        <v/>
      </c>
      <c r="G318" s="1" t="str">
        <f>IFERROR(IF(INDEX('[1]RTO Register'!AP$2:AP$698,MATCH($A318,'[1]RTO Register'!$AA$2:$AA$698,0))="Yes","School",""),"")</f>
        <v/>
      </c>
      <c r="H318" s="6" t="e">
        <f>INDEX('[1]RTO Register'!K$2:K$698,MATCH($A318,'[1]RTO Register'!$AA$2:$AA$698,0))</f>
        <v>#N/A</v>
      </c>
      <c r="I318" s="6" t="e">
        <f>INDEX('[1]RTO Register'!L$2:L$698,MATCH($A318,'[1]RTO Register'!$AA$2:$AA$698,0))</f>
        <v>#N/A</v>
      </c>
      <c r="J318" s="6" t="e">
        <f>INDEX('[1]RTO Register'!M$2:M$698,MATCH($A318,'[1]RTO Register'!$AA$2:$AA$698,0))</f>
        <v>#N/A</v>
      </c>
      <c r="K318" s="6" t="e">
        <f>INDEX('[1]RTO Register'!N$2:N$698,MATCH($A318,'[1]RTO Register'!$AA$2:$AA$698,0))</f>
        <v>#N/A</v>
      </c>
      <c r="L318" s="6" t="e">
        <f>INDEX('[1]RTO Register'!O$2:O$698,MATCH($A318,'[1]RTO Register'!$AA$2:$AA$698,0))</f>
        <v>#N/A</v>
      </c>
      <c r="M318" s="6" t="e">
        <f>INDEX('[1]RTO Register'!P$2:P$698,MATCH($A318,'[1]RTO Register'!$AA$2:$AA$698,0))</f>
        <v>#N/A</v>
      </c>
      <c r="N318" s="6" t="e">
        <f>INDEX('[1]RTO Register'!Q$2:Q$698,MATCH($A318,'[1]RTO Register'!$AA$2:$AA$698,0))</f>
        <v>#N/A</v>
      </c>
      <c r="O318" s="6" t="e">
        <f>INDEX('[1]RTO Register'!R$2:R$698,MATCH($A318,'[1]RTO Register'!$AA$2:$AA$698,0))</f>
        <v>#N/A</v>
      </c>
      <c r="P318" s="6" t="e">
        <f>INDEX('[1]RTO Register'!S$2:S$698,MATCH($A318,'[1]RTO Register'!$AA$2:$AA$698,0))</f>
        <v>#N/A</v>
      </c>
      <c r="Q318" s="6" t="e">
        <f t="shared" si="9"/>
        <v>#N/A</v>
      </c>
    </row>
    <row r="319" spans="6:17" x14ac:dyDescent="0.25">
      <c r="F319" s="1" t="str">
        <f t="shared" si="8"/>
        <v/>
      </c>
      <c r="G319" s="1" t="str">
        <f>IFERROR(IF(INDEX('[1]RTO Register'!AP$2:AP$698,MATCH($A319,'[1]RTO Register'!$AA$2:$AA$698,0))="Yes","School",""),"")</f>
        <v/>
      </c>
      <c r="H319" s="6" t="e">
        <f>INDEX('[1]RTO Register'!K$2:K$698,MATCH($A319,'[1]RTO Register'!$AA$2:$AA$698,0))</f>
        <v>#N/A</v>
      </c>
      <c r="I319" s="6" t="e">
        <f>INDEX('[1]RTO Register'!L$2:L$698,MATCH($A319,'[1]RTO Register'!$AA$2:$AA$698,0))</f>
        <v>#N/A</v>
      </c>
      <c r="J319" s="6" t="e">
        <f>INDEX('[1]RTO Register'!M$2:M$698,MATCH($A319,'[1]RTO Register'!$AA$2:$AA$698,0))</f>
        <v>#N/A</v>
      </c>
      <c r="K319" s="6" t="e">
        <f>INDEX('[1]RTO Register'!N$2:N$698,MATCH($A319,'[1]RTO Register'!$AA$2:$AA$698,0))</f>
        <v>#N/A</v>
      </c>
      <c r="L319" s="6" t="e">
        <f>INDEX('[1]RTO Register'!O$2:O$698,MATCH($A319,'[1]RTO Register'!$AA$2:$AA$698,0))</f>
        <v>#N/A</v>
      </c>
      <c r="M319" s="6" t="e">
        <f>INDEX('[1]RTO Register'!P$2:P$698,MATCH($A319,'[1]RTO Register'!$AA$2:$AA$698,0))</f>
        <v>#N/A</v>
      </c>
      <c r="N319" s="6" t="e">
        <f>INDEX('[1]RTO Register'!Q$2:Q$698,MATCH($A319,'[1]RTO Register'!$AA$2:$AA$698,0))</f>
        <v>#N/A</v>
      </c>
      <c r="O319" s="6" t="e">
        <f>INDEX('[1]RTO Register'!R$2:R$698,MATCH($A319,'[1]RTO Register'!$AA$2:$AA$698,0))</f>
        <v>#N/A</v>
      </c>
      <c r="P319" s="6" t="e">
        <f>INDEX('[1]RTO Register'!S$2:S$698,MATCH($A319,'[1]RTO Register'!$AA$2:$AA$698,0))</f>
        <v>#N/A</v>
      </c>
      <c r="Q319" s="6" t="e">
        <f t="shared" si="9"/>
        <v>#N/A</v>
      </c>
    </row>
    <row r="320" spans="6:17" x14ac:dyDescent="0.25">
      <c r="F320" s="1" t="str">
        <f t="shared" si="8"/>
        <v/>
      </c>
      <c r="G320" s="1" t="str">
        <f>IFERROR(IF(INDEX('[1]RTO Register'!AP$2:AP$698,MATCH($A320,'[1]RTO Register'!$AA$2:$AA$698,0))="Yes","School",""),"")</f>
        <v/>
      </c>
      <c r="H320" s="6" t="e">
        <f>INDEX('[1]RTO Register'!K$2:K$698,MATCH($A320,'[1]RTO Register'!$AA$2:$AA$698,0))</f>
        <v>#N/A</v>
      </c>
      <c r="I320" s="6" t="e">
        <f>INDEX('[1]RTO Register'!L$2:L$698,MATCH($A320,'[1]RTO Register'!$AA$2:$AA$698,0))</f>
        <v>#N/A</v>
      </c>
      <c r="J320" s="6" t="e">
        <f>INDEX('[1]RTO Register'!M$2:M$698,MATCH($A320,'[1]RTO Register'!$AA$2:$AA$698,0))</f>
        <v>#N/A</v>
      </c>
      <c r="K320" s="6" t="e">
        <f>INDEX('[1]RTO Register'!N$2:N$698,MATCH($A320,'[1]RTO Register'!$AA$2:$AA$698,0))</f>
        <v>#N/A</v>
      </c>
      <c r="L320" s="6" t="e">
        <f>INDEX('[1]RTO Register'!O$2:O$698,MATCH($A320,'[1]RTO Register'!$AA$2:$AA$698,0))</f>
        <v>#N/A</v>
      </c>
      <c r="M320" s="6" t="e">
        <f>INDEX('[1]RTO Register'!P$2:P$698,MATCH($A320,'[1]RTO Register'!$AA$2:$AA$698,0))</f>
        <v>#N/A</v>
      </c>
      <c r="N320" s="6" t="e">
        <f>INDEX('[1]RTO Register'!Q$2:Q$698,MATCH($A320,'[1]RTO Register'!$AA$2:$AA$698,0))</f>
        <v>#N/A</v>
      </c>
      <c r="O320" s="6" t="e">
        <f>INDEX('[1]RTO Register'!R$2:R$698,MATCH($A320,'[1]RTO Register'!$AA$2:$AA$698,0))</f>
        <v>#N/A</v>
      </c>
      <c r="P320" s="6" t="e">
        <f>INDEX('[1]RTO Register'!S$2:S$698,MATCH($A320,'[1]RTO Register'!$AA$2:$AA$698,0))</f>
        <v>#N/A</v>
      </c>
      <c r="Q320" s="6" t="e">
        <f t="shared" si="9"/>
        <v>#N/A</v>
      </c>
    </row>
    <row r="321" spans="6:17" x14ac:dyDescent="0.25">
      <c r="F321" s="1" t="str">
        <f t="shared" si="8"/>
        <v/>
      </c>
      <c r="G321" s="1" t="str">
        <f>IFERROR(IF(INDEX('[1]RTO Register'!AP$2:AP$698,MATCH($A321,'[1]RTO Register'!$AA$2:$AA$698,0))="Yes","School",""),"")</f>
        <v/>
      </c>
      <c r="H321" s="6" t="e">
        <f>INDEX('[1]RTO Register'!K$2:K$698,MATCH($A321,'[1]RTO Register'!$AA$2:$AA$698,0))</f>
        <v>#N/A</v>
      </c>
      <c r="I321" s="6" t="e">
        <f>INDEX('[1]RTO Register'!L$2:L$698,MATCH($A321,'[1]RTO Register'!$AA$2:$AA$698,0))</f>
        <v>#N/A</v>
      </c>
      <c r="J321" s="6" t="e">
        <f>INDEX('[1]RTO Register'!M$2:M$698,MATCH($A321,'[1]RTO Register'!$AA$2:$AA$698,0))</f>
        <v>#N/A</v>
      </c>
      <c r="K321" s="6" t="e">
        <f>INDEX('[1]RTO Register'!N$2:N$698,MATCH($A321,'[1]RTO Register'!$AA$2:$AA$698,0))</f>
        <v>#N/A</v>
      </c>
      <c r="L321" s="6" t="e">
        <f>INDEX('[1]RTO Register'!O$2:O$698,MATCH($A321,'[1]RTO Register'!$AA$2:$AA$698,0))</f>
        <v>#N/A</v>
      </c>
      <c r="M321" s="6" t="e">
        <f>INDEX('[1]RTO Register'!P$2:P$698,MATCH($A321,'[1]RTO Register'!$AA$2:$AA$698,0))</f>
        <v>#N/A</v>
      </c>
      <c r="N321" s="6" t="e">
        <f>INDEX('[1]RTO Register'!Q$2:Q$698,MATCH($A321,'[1]RTO Register'!$AA$2:$AA$698,0))</f>
        <v>#N/A</v>
      </c>
      <c r="O321" s="6" t="e">
        <f>INDEX('[1]RTO Register'!R$2:R$698,MATCH($A321,'[1]RTO Register'!$AA$2:$AA$698,0))</f>
        <v>#N/A</v>
      </c>
      <c r="P321" s="6" t="e">
        <f>INDEX('[1]RTO Register'!S$2:S$698,MATCH($A321,'[1]RTO Register'!$AA$2:$AA$698,0))</f>
        <v>#N/A</v>
      </c>
      <c r="Q321" s="6" t="e">
        <f t="shared" si="9"/>
        <v>#N/A</v>
      </c>
    </row>
    <row r="322" spans="6:17" x14ac:dyDescent="0.25">
      <c r="F322" s="1" t="str">
        <f t="shared" si="8"/>
        <v/>
      </c>
      <c r="G322" s="1" t="str">
        <f>IFERROR(IF(INDEX('[1]RTO Register'!AP$2:AP$698,MATCH($A322,'[1]RTO Register'!$AA$2:$AA$698,0))="Yes","School",""),"")</f>
        <v/>
      </c>
      <c r="H322" s="6" t="e">
        <f>INDEX('[1]RTO Register'!K$2:K$698,MATCH($A322,'[1]RTO Register'!$AA$2:$AA$698,0))</f>
        <v>#N/A</v>
      </c>
      <c r="I322" s="6" t="e">
        <f>INDEX('[1]RTO Register'!L$2:L$698,MATCH($A322,'[1]RTO Register'!$AA$2:$AA$698,0))</f>
        <v>#N/A</v>
      </c>
      <c r="J322" s="6" t="e">
        <f>INDEX('[1]RTO Register'!M$2:M$698,MATCH($A322,'[1]RTO Register'!$AA$2:$AA$698,0))</f>
        <v>#N/A</v>
      </c>
      <c r="K322" s="6" t="e">
        <f>INDEX('[1]RTO Register'!N$2:N$698,MATCH($A322,'[1]RTO Register'!$AA$2:$AA$698,0))</f>
        <v>#N/A</v>
      </c>
      <c r="L322" s="6" t="e">
        <f>INDEX('[1]RTO Register'!O$2:O$698,MATCH($A322,'[1]RTO Register'!$AA$2:$AA$698,0))</f>
        <v>#N/A</v>
      </c>
      <c r="M322" s="6" t="e">
        <f>INDEX('[1]RTO Register'!P$2:P$698,MATCH($A322,'[1]RTO Register'!$AA$2:$AA$698,0))</f>
        <v>#N/A</v>
      </c>
      <c r="N322" s="6" t="e">
        <f>INDEX('[1]RTO Register'!Q$2:Q$698,MATCH($A322,'[1]RTO Register'!$AA$2:$AA$698,0))</f>
        <v>#N/A</v>
      </c>
      <c r="O322" s="6" t="e">
        <f>INDEX('[1]RTO Register'!R$2:R$698,MATCH($A322,'[1]RTO Register'!$AA$2:$AA$698,0))</f>
        <v>#N/A</v>
      </c>
      <c r="P322" s="6" t="e">
        <f>INDEX('[1]RTO Register'!S$2:S$698,MATCH($A322,'[1]RTO Register'!$AA$2:$AA$698,0))</f>
        <v>#N/A</v>
      </c>
      <c r="Q322" s="6" t="e">
        <f t="shared" si="9"/>
        <v>#N/A</v>
      </c>
    </row>
    <row r="323" spans="6:17" x14ac:dyDescent="0.25">
      <c r="F323" s="1" t="str">
        <f t="shared" si="8"/>
        <v/>
      </c>
      <c r="G323" s="1" t="str">
        <f>IFERROR(IF(INDEX('[1]RTO Register'!AP$2:AP$698,MATCH($A323,'[1]RTO Register'!$AA$2:$AA$698,0))="Yes","School",""),"")</f>
        <v/>
      </c>
      <c r="H323" s="6" t="e">
        <f>INDEX('[1]RTO Register'!K$2:K$698,MATCH($A323,'[1]RTO Register'!$AA$2:$AA$698,0))</f>
        <v>#N/A</v>
      </c>
      <c r="I323" s="6" t="e">
        <f>INDEX('[1]RTO Register'!L$2:L$698,MATCH($A323,'[1]RTO Register'!$AA$2:$AA$698,0))</f>
        <v>#N/A</v>
      </c>
      <c r="J323" s="6" t="e">
        <f>INDEX('[1]RTO Register'!M$2:M$698,MATCH($A323,'[1]RTO Register'!$AA$2:$AA$698,0))</f>
        <v>#N/A</v>
      </c>
      <c r="K323" s="6" t="e">
        <f>INDEX('[1]RTO Register'!N$2:N$698,MATCH($A323,'[1]RTO Register'!$AA$2:$AA$698,0))</f>
        <v>#N/A</v>
      </c>
      <c r="L323" s="6" t="e">
        <f>INDEX('[1]RTO Register'!O$2:O$698,MATCH($A323,'[1]RTO Register'!$AA$2:$AA$698,0))</f>
        <v>#N/A</v>
      </c>
      <c r="M323" s="6" t="e">
        <f>INDEX('[1]RTO Register'!P$2:P$698,MATCH($A323,'[1]RTO Register'!$AA$2:$AA$698,0))</f>
        <v>#N/A</v>
      </c>
      <c r="N323" s="6" t="e">
        <f>INDEX('[1]RTO Register'!Q$2:Q$698,MATCH($A323,'[1]RTO Register'!$AA$2:$AA$698,0))</f>
        <v>#N/A</v>
      </c>
      <c r="O323" s="6" t="e">
        <f>INDEX('[1]RTO Register'!R$2:R$698,MATCH($A323,'[1]RTO Register'!$AA$2:$AA$698,0))</f>
        <v>#N/A</v>
      </c>
      <c r="P323" s="6" t="e">
        <f>INDEX('[1]RTO Register'!S$2:S$698,MATCH($A323,'[1]RTO Register'!$AA$2:$AA$698,0))</f>
        <v>#N/A</v>
      </c>
      <c r="Q323" s="6" t="e">
        <f t="shared" si="9"/>
        <v>#N/A</v>
      </c>
    </row>
    <row r="324" spans="6:17" x14ac:dyDescent="0.25">
      <c r="F324" s="1" t="str">
        <f t="shared" ref="F324:F387" si="10">IFERROR(IF(R324=$L$2,"CRTD approved",""),"")</f>
        <v/>
      </c>
      <c r="G324" s="1" t="str">
        <f>IFERROR(IF(INDEX('[1]RTO Register'!AP$2:AP$698,MATCH($A324,'[1]RTO Register'!$AA$2:$AA$698,0))="Yes","School",""),"")</f>
        <v/>
      </c>
      <c r="H324" s="6" t="e">
        <f>INDEX('[1]RTO Register'!K$2:K$698,MATCH($A324,'[1]RTO Register'!$AA$2:$AA$698,0))</f>
        <v>#N/A</v>
      </c>
      <c r="I324" s="6" t="e">
        <f>INDEX('[1]RTO Register'!L$2:L$698,MATCH($A324,'[1]RTO Register'!$AA$2:$AA$698,0))</f>
        <v>#N/A</v>
      </c>
      <c r="J324" s="6" t="e">
        <f>INDEX('[1]RTO Register'!M$2:M$698,MATCH($A324,'[1]RTO Register'!$AA$2:$AA$698,0))</f>
        <v>#N/A</v>
      </c>
      <c r="K324" s="6" t="e">
        <f>INDEX('[1]RTO Register'!N$2:N$698,MATCH($A324,'[1]RTO Register'!$AA$2:$AA$698,0))</f>
        <v>#N/A</v>
      </c>
      <c r="L324" s="6" t="e">
        <f>INDEX('[1]RTO Register'!O$2:O$698,MATCH($A324,'[1]RTO Register'!$AA$2:$AA$698,0))</f>
        <v>#N/A</v>
      </c>
      <c r="M324" s="6" t="e">
        <f>INDEX('[1]RTO Register'!P$2:P$698,MATCH($A324,'[1]RTO Register'!$AA$2:$AA$698,0))</f>
        <v>#N/A</v>
      </c>
      <c r="N324" s="6" t="e">
        <f>INDEX('[1]RTO Register'!Q$2:Q$698,MATCH($A324,'[1]RTO Register'!$AA$2:$AA$698,0))</f>
        <v>#N/A</v>
      </c>
      <c r="O324" s="6" t="e">
        <f>INDEX('[1]RTO Register'!R$2:R$698,MATCH($A324,'[1]RTO Register'!$AA$2:$AA$698,0))</f>
        <v>#N/A</v>
      </c>
      <c r="P324" s="6" t="e">
        <f>INDEX('[1]RTO Register'!S$2:S$698,MATCH($A324,'[1]RTO Register'!$AA$2:$AA$698,0))</f>
        <v>#N/A</v>
      </c>
      <c r="Q324" s="6" t="e">
        <f t="shared" ref="Q324:Q387" si="11">MAX(H324:P324)</f>
        <v>#N/A</v>
      </c>
    </row>
    <row r="325" spans="6:17" x14ac:dyDescent="0.25">
      <c r="F325" s="1" t="str">
        <f t="shared" si="10"/>
        <v/>
      </c>
      <c r="G325" s="1" t="str">
        <f>IFERROR(IF(INDEX('[1]RTO Register'!AP$2:AP$698,MATCH($A325,'[1]RTO Register'!$AA$2:$AA$698,0))="Yes","School",""),"")</f>
        <v/>
      </c>
      <c r="H325" s="6" t="e">
        <f>INDEX('[1]RTO Register'!K$2:K$698,MATCH($A325,'[1]RTO Register'!$AA$2:$AA$698,0))</f>
        <v>#N/A</v>
      </c>
      <c r="I325" s="6" t="e">
        <f>INDEX('[1]RTO Register'!L$2:L$698,MATCH($A325,'[1]RTO Register'!$AA$2:$AA$698,0))</f>
        <v>#N/A</v>
      </c>
      <c r="J325" s="6" t="e">
        <f>INDEX('[1]RTO Register'!M$2:M$698,MATCH($A325,'[1]RTO Register'!$AA$2:$AA$698,0))</f>
        <v>#N/A</v>
      </c>
      <c r="K325" s="6" t="e">
        <f>INDEX('[1]RTO Register'!N$2:N$698,MATCH($A325,'[1]RTO Register'!$AA$2:$AA$698,0))</f>
        <v>#N/A</v>
      </c>
      <c r="L325" s="6" t="e">
        <f>INDEX('[1]RTO Register'!O$2:O$698,MATCH($A325,'[1]RTO Register'!$AA$2:$AA$698,0))</f>
        <v>#N/A</v>
      </c>
      <c r="M325" s="6" t="e">
        <f>INDEX('[1]RTO Register'!P$2:P$698,MATCH($A325,'[1]RTO Register'!$AA$2:$AA$698,0))</f>
        <v>#N/A</v>
      </c>
      <c r="N325" s="6" t="e">
        <f>INDEX('[1]RTO Register'!Q$2:Q$698,MATCH($A325,'[1]RTO Register'!$AA$2:$AA$698,0))</f>
        <v>#N/A</v>
      </c>
      <c r="O325" s="6" t="e">
        <f>INDEX('[1]RTO Register'!R$2:R$698,MATCH($A325,'[1]RTO Register'!$AA$2:$AA$698,0))</f>
        <v>#N/A</v>
      </c>
      <c r="P325" s="6" t="e">
        <f>INDEX('[1]RTO Register'!S$2:S$698,MATCH($A325,'[1]RTO Register'!$AA$2:$AA$698,0))</f>
        <v>#N/A</v>
      </c>
      <c r="Q325" s="6" t="e">
        <f t="shared" si="11"/>
        <v>#N/A</v>
      </c>
    </row>
    <row r="326" spans="6:17" x14ac:dyDescent="0.25">
      <c r="F326" s="1" t="str">
        <f t="shared" si="10"/>
        <v/>
      </c>
      <c r="G326" s="1" t="str">
        <f>IFERROR(IF(INDEX('[1]RTO Register'!AP$2:AP$698,MATCH($A326,'[1]RTO Register'!$AA$2:$AA$698,0))="Yes","School",""),"")</f>
        <v/>
      </c>
      <c r="H326" s="6" t="e">
        <f>INDEX('[1]RTO Register'!K$2:K$698,MATCH($A326,'[1]RTO Register'!$AA$2:$AA$698,0))</f>
        <v>#N/A</v>
      </c>
      <c r="I326" s="6" t="e">
        <f>INDEX('[1]RTO Register'!L$2:L$698,MATCH($A326,'[1]RTO Register'!$AA$2:$AA$698,0))</f>
        <v>#N/A</v>
      </c>
      <c r="J326" s="6" t="e">
        <f>INDEX('[1]RTO Register'!M$2:M$698,MATCH($A326,'[1]RTO Register'!$AA$2:$AA$698,0))</f>
        <v>#N/A</v>
      </c>
      <c r="K326" s="6" t="e">
        <f>INDEX('[1]RTO Register'!N$2:N$698,MATCH($A326,'[1]RTO Register'!$AA$2:$AA$698,0))</f>
        <v>#N/A</v>
      </c>
      <c r="L326" s="6" t="e">
        <f>INDEX('[1]RTO Register'!O$2:O$698,MATCH($A326,'[1]RTO Register'!$AA$2:$AA$698,0))</f>
        <v>#N/A</v>
      </c>
      <c r="M326" s="6" t="e">
        <f>INDEX('[1]RTO Register'!P$2:P$698,MATCH($A326,'[1]RTO Register'!$AA$2:$AA$698,0))</f>
        <v>#N/A</v>
      </c>
      <c r="N326" s="6" t="e">
        <f>INDEX('[1]RTO Register'!Q$2:Q$698,MATCH($A326,'[1]RTO Register'!$AA$2:$AA$698,0))</f>
        <v>#N/A</v>
      </c>
      <c r="O326" s="6" t="e">
        <f>INDEX('[1]RTO Register'!R$2:R$698,MATCH($A326,'[1]RTO Register'!$AA$2:$AA$698,0))</f>
        <v>#N/A</v>
      </c>
      <c r="P326" s="6" t="e">
        <f>INDEX('[1]RTO Register'!S$2:S$698,MATCH($A326,'[1]RTO Register'!$AA$2:$AA$698,0))</f>
        <v>#N/A</v>
      </c>
      <c r="Q326" s="6" t="e">
        <f t="shared" si="11"/>
        <v>#N/A</v>
      </c>
    </row>
    <row r="327" spans="6:17" x14ac:dyDescent="0.25">
      <c r="F327" s="1" t="str">
        <f t="shared" si="10"/>
        <v/>
      </c>
      <c r="G327" s="1" t="str">
        <f>IFERROR(IF(INDEX('[1]RTO Register'!AP$2:AP$698,MATCH($A327,'[1]RTO Register'!$AA$2:$AA$698,0))="Yes","School",""),"")</f>
        <v/>
      </c>
      <c r="H327" s="6" t="e">
        <f>INDEX('[1]RTO Register'!K$2:K$698,MATCH($A327,'[1]RTO Register'!$AA$2:$AA$698,0))</f>
        <v>#N/A</v>
      </c>
      <c r="I327" s="6" t="e">
        <f>INDEX('[1]RTO Register'!L$2:L$698,MATCH($A327,'[1]RTO Register'!$AA$2:$AA$698,0))</f>
        <v>#N/A</v>
      </c>
      <c r="J327" s="6" t="e">
        <f>INDEX('[1]RTO Register'!M$2:M$698,MATCH($A327,'[1]RTO Register'!$AA$2:$AA$698,0))</f>
        <v>#N/A</v>
      </c>
      <c r="K327" s="6" t="e">
        <f>INDEX('[1]RTO Register'!N$2:N$698,MATCH($A327,'[1]RTO Register'!$AA$2:$AA$698,0))</f>
        <v>#N/A</v>
      </c>
      <c r="L327" s="6" t="e">
        <f>INDEX('[1]RTO Register'!O$2:O$698,MATCH($A327,'[1]RTO Register'!$AA$2:$AA$698,0))</f>
        <v>#N/A</v>
      </c>
      <c r="M327" s="6" t="e">
        <f>INDEX('[1]RTO Register'!P$2:P$698,MATCH($A327,'[1]RTO Register'!$AA$2:$AA$698,0))</f>
        <v>#N/A</v>
      </c>
      <c r="N327" s="6" t="e">
        <f>INDEX('[1]RTO Register'!Q$2:Q$698,MATCH($A327,'[1]RTO Register'!$AA$2:$AA$698,0))</f>
        <v>#N/A</v>
      </c>
      <c r="O327" s="6" t="e">
        <f>INDEX('[1]RTO Register'!R$2:R$698,MATCH($A327,'[1]RTO Register'!$AA$2:$AA$698,0))</f>
        <v>#N/A</v>
      </c>
      <c r="P327" s="6" t="e">
        <f>INDEX('[1]RTO Register'!S$2:S$698,MATCH($A327,'[1]RTO Register'!$AA$2:$AA$698,0))</f>
        <v>#N/A</v>
      </c>
      <c r="Q327" s="6" t="e">
        <f t="shared" si="11"/>
        <v>#N/A</v>
      </c>
    </row>
    <row r="328" spans="6:17" x14ac:dyDescent="0.25">
      <c r="F328" s="1" t="str">
        <f t="shared" si="10"/>
        <v/>
      </c>
      <c r="G328" s="1" t="str">
        <f>IFERROR(IF(INDEX('[1]RTO Register'!AP$2:AP$698,MATCH($A328,'[1]RTO Register'!$AA$2:$AA$698,0))="Yes","School",""),"")</f>
        <v/>
      </c>
      <c r="H328" s="6" t="e">
        <f>INDEX('[1]RTO Register'!K$2:K$698,MATCH($A328,'[1]RTO Register'!$AA$2:$AA$698,0))</f>
        <v>#N/A</v>
      </c>
      <c r="I328" s="6" t="e">
        <f>INDEX('[1]RTO Register'!L$2:L$698,MATCH($A328,'[1]RTO Register'!$AA$2:$AA$698,0))</f>
        <v>#N/A</v>
      </c>
      <c r="J328" s="6" t="e">
        <f>INDEX('[1]RTO Register'!M$2:M$698,MATCH($A328,'[1]RTO Register'!$AA$2:$AA$698,0))</f>
        <v>#N/A</v>
      </c>
      <c r="K328" s="6" t="e">
        <f>INDEX('[1]RTO Register'!N$2:N$698,MATCH($A328,'[1]RTO Register'!$AA$2:$AA$698,0))</f>
        <v>#N/A</v>
      </c>
      <c r="L328" s="6" t="e">
        <f>INDEX('[1]RTO Register'!O$2:O$698,MATCH($A328,'[1]RTO Register'!$AA$2:$AA$698,0))</f>
        <v>#N/A</v>
      </c>
      <c r="M328" s="6" t="e">
        <f>INDEX('[1]RTO Register'!P$2:P$698,MATCH($A328,'[1]RTO Register'!$AA$2:$AA$698,0))</f>
        <v>#N/A</v>
      </c>
      <c r="N328" s="6" t="e">
        <f>INDEX('[1]RTO Register'!Q$2:Q$698,MATCH($A328,'[1]RTO Register'!$AA$2:$AA$698,0))</f>
        <v>#N/A</v>
      </c>
      <c r="O328" s="6" t="e">
        <f>INDEX('[1]RTO Register'!R$2:R$698,MATCH($A328,'[1]RTO Register'!$AA$2:$AA$698,0))</f>
        <v>#N/A</v>
      </c>
      <c r="P328" s="6" t="e">
        <f>INDEX('[1]RTO Register'!S$2:S$698,MATCH($A328,'[1]RTO Register'!$AA$2:$AA$698,0))</f>
        <v>#N/A</v>
      </c>
      <c r="Q328" s="6" t="e">
        <f t="shared" si="11"/>
        <v>#N/A</v>
      </c>
    </row>
    <row r="329" spans="6:17" x14ac:dyDescent="0.25">
      <c r="F329" s="1" t="str">
        <f t="shared" si="10"/>
        <v/>
      </c>
      <c r="G329" s="1" t="str">
        <f>IFERROR(IF(INDEX('[1]RTO Register'!AP$2:AP$698,MATCH($A329,'[1]RTO Register'!$AA$2:$AA$698,0))="Yes","School",""),"")</f>
        <v/>
      </c>
      <c r="H329" s="6" t="e">
        <f>INDEX('[1]RTO Register'!K$2:K$698,MATCH($A329,'[1]RTO Register'!$AA$2:$AA$698,0))</f>
        <v>#N/A</v>
      </c>
      <c r="I329" s="6" t="e">
        <f>INDEX('[1]RTO Register'!L$2:L$698,MATCH($A329,'[1]RTO Register'!$AA$2:$AA$698,0))</f>
        <v>#N/A</v>
      </c>
      <c r="J329" s="6" t="e">
        <f>INDEX('[1]RTO Register'!M$2:M$698,MATCH($A329,'[1]RTO Register'!$AA$2:$AA$698,0))</f>
        <v>#N/A</v>
      </c>
      <c r="K329" s="6" t="e">
        <f>INDEX('[1]RTO Register'!N$2:N$698,MATCH($A329,'[1]RTO Register'!$AA$2:$AA$698,0))</f>
        <v>#N/A</v>
      </c>
      <c r="L329" s="6" t="e">
        <f>INDEX('[1]RTO Register'!O$2:O$698,MATCH($A329,'[1]RTO Register'!$AA$2:$AA$698,0))</f>
        <v>#N/A</v>
      </c>
      <c r="M329" s="6" t="e">
        <f>INDEX('[1]RTO Register'!P$2:P$698,MATCH($A329,'[1]RTO Register'!$AA$2:$AA$698,0))</f>
        <v>#N/A</v>
      </c>
      <c r="N329" s="6" t="e">
        <f>INDEX('[1]RTO Register'!Q$2:Q$698,MATCH($A329,'[1]RTO Register'!$AA$2:$AA$698,0))</f>
        <v>#N/A</v>
      </c>
      <c r="O329" s="6" t="e">
        <f>INDEX('[1]RTO Register'!R$2:R$698,MATCH($A329,'[1]RTO Register'!$AA$2:$AA$698,0))</f>
        <v>#N/A</v>
      </c>
      <c r="P329" s="6" t="e">
        <f>INDEX('[1]RTO Register'!S$2:S$698,MATCH($A329,'[1]RTO Register'!$AA$2:$AA$698,0))</f>
        <v>#N/A</v>
      </c>
      <c r="Q329" s="6" t="e">
        <f t="shared" si="11"/>
        <v>#N/A</v>
      </c>
    </row>
    <row r="330" spans="6:17" x14ac:dyDescent="0.25">
      <c r="F330" s="1" t="str">
        <f t="shared" si="10"/>
        <v/>
      </c>
      <c r="G330" s="1" t="str">
        <f>IFERROR(IF(INDEX('[1]RTO Register'!AP$2:AP$698,MATCH($A330,'[1]RTO Register'!$AA$2:$AA$698,0))="Yes","School",""),"")</f>
        <v/>
      </c>
      <c r="H330" s="6" t="e">
        <f>INDEX('[1]RTO Register'!K$2:K$698,MATCH($A330,'[1]RTO Register'!$AA$2:$AA$698,0))</f>
        <v>#N/A</v>
      </c>
      <c r="I330" s="6" t="e">
        <f>INDEX('[1]RTO Register'!L$2:L$698,MATCH($A330,'[1]RTO Register'!$AA$2:$AA$698,0))</f>
        <v>#N/A</v>
      </c>
      <c r="J330" s="6" t="e">
        <f>INDEX('[1]RTO Register'!M$2:M$698,MATCH($A330,'[1]RTO Register'!$AA$2:$AA$698,0))</f>
        <v>#N/A</v>
      </c>
      <c r="K330" s="6" t="e">
        <f>INDEX('[1]RTO Register'!N$2:N$698,MATCH($A330,'[1]RTO Register'!$AA$2:$AA$698,0))</f>
        <v>#N/A</v>
      </c>
      <c r="L330" s="6" t="e">
        <f>INDEX('[1]RTO Register'!O$2:O$698,MATCH($A330,'[1]RTO Register'!$AA$2:$AA$698,0))</f>
        <v>#N/A</v>
      </c>
      <c r="M330" s="6" t="e">
        <f>INDEX('[1]RTO Register'!P$2:P$698,MATCH($A330,'[1]RTO Register'!$AA$2:$AA$698,0))</f>
        <v>#N/A</v>
      </c>
      <c r="N330" s="6" t="e">
        <f>INDEX('[1]RTO Register'!Q$2:Q$698,MATCH($A330,'[1]RTO Register'!$AA$2:$AA$698,0))</f>
        <v>#N/A</v>
      </c>
      <c r="O330" s="6" t="e">
        <f>INDEX('[1]RTO Register'!R$2:R$698,MATCH($A330,'[1]RTO Register'!$AA$2:$AA$698,0))</f>
        <v>#N/A</v>
      </c>
      <c r="P330" s="6" t="e">
        <f>INDEX('[1]RTO Register'!S$2:S$698,MATCH($A330,'[1]RTO Register'!$AA$2:$AA$698,0))</f>
        <v>#N/A</v>
      </c>
      <c r="Q330" s="6" t="e">
        <f t="shared" si="11"/>
        <v>#N/A</v>
      </c>
    </row>
    <row r="331" spans="6:17" x14ac:dyDescent="0.25">
      <c r="F331" s="1" t="str">
        <f t="shared" si="10"/>
        <v/>
      </c>
      <c r="G331" s="1" t="str">
        <f>IFERROR(IF(INDEX('[1]RTO Register'!AP$2:AP$698,MATCH($A331,'[1]RTO Register'!$AA$2:$AA$698,0))="Yes","School",""),"")</f>
        <v/>
      </c>
      <c r="H331" s="6" t="e">
        <f>INDEX('[1]RTO Register'!K$2:K$698,MATCH($A331,'[1]RTO Register'!$AA$2:$AA$698,0))</f>
        <v>#N/A</v>
      </c>
      <c r="I331" s="6" t="e">
        <f>INDEX('[1]RTO Register'!L$2:L$698,MATCH($A331,'[1]RTO Register'!$AA$2:$AA$698,0))</f>
        <v>#N/A</v>
      </c>
      <c r="J331" s="6" t="e">
        <f>INDEX('[1]RTO Register'!M$2:M$698,MATCH($A331,'[1]RTO Register'!$AA$2:$AA$698,0))</f>
        <v>#N/A</v>
      </c>
      <c r="K331" s="6" t="e">
        <f>INDEX('[1]RTO Register'!N$2:N$698,MATCH($A331,'[1]RTO Register'!$AA$2:$AA$698,0))</f>
        <v>#N/A</v>
      </c>
      <c r="L331" s="6" t="e">
        <f>INDEX('[1]RTO Register'!O$2:O$698,MATCH($A331,'[1]RTO Register'!$AA$2:$AA$698,0))</f>
        <v>#N/A</v>
      </c>
      <c r="M331" s="6" t="e">
        <f>INDEX('[1]RTO Register'!P$2:P$698,MATCH($A331,'[1]RTO Register'!$AA$2:$AA$698,0))</f>
        <v>#N/A</v>
      </c>
      <c r="N331" s="6" t="e">
        <f>INDEX('[1]RTO Register'!Q$2:Q$698,MATCH($A331,'[1]RTO Register'!$AA$2:$AA$698,0))</f>
        <v>#N/A</v>
      </c>
      <c r="O331" s="6" t="e">
        <f>INDEX('[1]RTO Register'!R$2:R$698,MATCH($A331,'[1]RTO Register'!$AA$2:$AA$698,0))</f>
        <v>#N/A</v>
      </c>
      <c r="P331" s="6" t="e">
        <f>INDEX('[1]RTO Register'!S$2:S$698,MATCH($A331,'[1]RTO Register'!$AA$2:$AA$698,0))</f>
        <v>#N/A</v>
      </c>
      <c r="Q331" s="6" t="e">
        <f t="shared" si="11"/>
        <v>#N/A</v>
      </c>
    </row>
    <row r="332" spans="6:17" x14ac:dyDescent="0.25">
      <c r="F332" s="1" t="str">
        <f t="shared" si="10"/>
        <v/>
      </c>
      <c r="G332" s="1" t="str">
        <f>IFERROR(IF(INDEX('[1]RTO Register'!AP$2:AP$698,MATCH($A332,'[1]RTO Register'!$AA$2:$AA$698,0))="Yes","School",""),"")</f>
        <v/>
      </c>
      <c r="H332" s="6" t="e">
        <f>INDEX('[1]RTO Register'!K$2:K$698,MATCH($A332,'[1]RTO Register'!$AA$2:$AA$698,0))</f>
        <v>#N/A</v>
      </c>
      <c r="I332" s="6" t="e">
        <f>INDEX('[1]RTO Register'!L$2:L$698,MATCH($A332,'[1]RTO Register'!$AA$2:$AA$698,0))</f>
        <v>#N/A</v>
      </c>
      <c r="J332" s="6" t="e">
        <f>INDEX('[1]RTO Register'!M$2:M$698,MATCH($A332,'[1]RTO Register'!$AA$2:$AA$698,0))</f>
        <v>#N/A</v>
      </c>
      <c r="K332" s="6" t="e">
        <f>INDEX('[1]RTO Register'!N$2:N$698,MATCH($A332,'[1]RTO Register'!$AA$2:$AA$698,0))</f>
        <v>#N/A</v>
      </c>
      <c r="L332" s="6" t="e">
        <f>INDEX('[1]RTO Register'!O$2:O$698,MATCH($A332,'[1]RTO Register'!$AA$2:$AA$698,0))</f>
        <v>#N/A</v>
      </c>
      <c r="M332" s="6" t="e">
        <f>INDEX('[1]RTO Register'!P$2:P$698,MATCH($A332,'[1]RTO Register'!$AA$2:$AA$698,0))</f>
        <v>#N/A</v>
      </c>
      <c r="N332" s="6" t="e">
        <f>INDEX('[1]RTO Register'!Q$2:Q$698,MATCH($A332,'[1]RTO Register'!$AA$2:$AA$698,0))</f>
        <v>#N/A</v>
      </c>
      <c r="O332" s="6" t="e">
        <f>INDEX('[1]RTO Register'!R$2:R$698,MATCH($A332,'[1]RTO Register'!$AA$2:$AA$698,0))</f>
        <v>#N/A</v>
      </c>
      <c r="P332" s="6" t="e">
        <f>INDEX('[1]RTO Register'!S$2:S$698,MATCH($A332,'[1]RTO Register'!$AA$2:$AA$698,0))</f>
        <v>#N/A</v>
      </c>
      <c r="Q332" s="6" t="e">
        <f t="shared" si="11"/>
        <v>#N/A</v>
      </c>
    </row>
    <row r="333" spans="6:17" x14ac:dyDescent="0.25">
      <c r="F333" s="1" t="str">
        <f t="shared" si="10"/>
        <v/>
      </c>
      <c r="G333" s="1" t="str">
        <f>IFERROR(IF(INDEX('[1]RTO Register'!AP$2:AP$698,MATCH($A333,'[1]RTO Register'!$AA$2:$AA$698,0))="Yes","School",""),"")</f>
        <v/>
      </c>
      <c r="H333" s="6" t="e">
        <f>INDEX('[1]RTO Register'!K$2:K$698,MATCH($A333,'[1]RTO Register'!$AA$2:$AA$698,0))</f>
        <v>#N/A</v>
      </c>
      <c r="I333" s="6" t="e">
        <f>INDEX('[1]RTO Register'!L$2:L$698,MATCH($A333,'[1]RTO Register'!$AA$2:$AA$698,0))</f>
        <v>#N/A</v>
      </c>
      <c r="J333" s="6" t="e">
        <f>INDEX('[1]RTO Register'!M$2:M$698,MATCH($A333,'[1]RTO Register'!$AA$2:$AA$698,0))</f>
        <v>#N/A</v>
      </c>
      <c r="K333" s="6" t="e">
        <f>INDEX('[1]RTO Register'!N$2:N$698,MATCH($A333,'[1]RTO Register'!$AA$2:$AA$698,0))</f>
        <v>#N/A</v>
      </c>
      <c r="L333" s="6" t="e">
        <f>INDEX('[1]RTO Register'!O$2:O$698,MATCH($A333,'[1]RTO Register'!$AA$2:$AA$698,0))</f>
        <v>#N/A</v>
      </c>
      <c r="M333" s="6" t="e">
        <f>INDEX('[1]RTO Register'!P$2:P$698,MATCH($A333,'[1]RTO Register'!$AA$2:$AA$698,0))</f>
        <v>#N/A</v>
      </c>
      <c r="N333" s="6" t="e">
        <f>INDEX('[1]RTO Register'!Q$2:Q$698,MATCH($A333,'[1]RTO Register'!$AA$2:$AA$698,0))</f>
        <v>#N/A</v>
      </c>
      <c r="O333" s="6" t="e">
        <f>INDEX('[1]RTO Register'!R$2:R$698,MATCH($A333,'[1]RTO Register'!$AA$2:$AA$698,0))</f>
        <v>#N/A</v>
      </c>
      <c r="P333" s="6" t="e">
        <f>INDEX('[1]RTO Register'!S$2:S$698,MATCH($A333,'[1]RTO Register'!$AA$2:$AA$698,0))</f>
        <v>#N/A</v>
      </c>
      <c r="Q333" s="6" t="e">
        <f t="shared" si="11"/>
        <v>#N/A</v>
      </c>
    </row>
    <row r="334" spans="6:17" x14ac:dyDescent="0.25">
      <c r="F334" s="1" t="str">
        <f t="shared" si="10"/>
        <v/>
      </c>
      <c r="G334" s="1" t="str">
        <f>IFERROR(IF(INDEX('[1]RTO Register'!AP$2:AP$698,MATCH($A334,'[1]RTO Register'!$AA$2:$AA$698,0))="Yes","School",""),"")</f>
        <v/>
      </c>
      <c r="H334" s="6" t="e">
        <f>INDEX('[1]RTO Register'!K$2:K$698,MATCH($A334,'[1]RTO Register'!$AA$2:$AA$698,0))</f>
        <v>#N/A</v>
      </c>
      <c r="I334" s="6" t="e">
        <f>INDEX('[1]RTO Register'!L$2:L$698,MATCH($A334,'[1]RTO Register'!$AA$2:$AA$698,0))</f>
        <v>#N/A</v>
      </c>
      <c r="J334" s="6" t="e">
        <f>INDEX('[1]RTO Register'!M$2:M$698,MATCH($A334,'[1]RTO Register'!$AA$2:$AA$698,0))</f>
        <v>#N/A</v>
      </c>
      <c r="K334" s="6" t="e">
        <f>INDEX('[1]RTO Register'!N$2:N$698,MATCH($A334,'[1]RTO Register'!$AA$2:$AA$698,0))</f>
        <v>#N/A</v>
      </c>
      <c r="L334" s="6" t="e">
        <f>INDEX('[1]RTO Register'!O$2:O$698,MATCH($A334,'[1]RTO Register'!$AA$2:$AA$698,0))</f>
        <v>#N/A</v>
      </c>
      <c r="M334" s="6" t="e">
        <f>INDEX('[1]RTO Register'!P$2:P$698,MATCH($A334,'[1]RTO Register'!$AA$2:$AA$698,0))</f>
        <v>#N/A</v>
      </c>
      <c r="N334" s="6" t="e">
        <f>INDEX('[1]RTO Register'!Q$2:Q$698,MATCH($A334,'[1]RTO Register'!$AA$2:$AA$698,0))</f>
        <v>#N/A</v>
      </c>
      <c r="O334" s="6" t="e">
        <f>INDEX('[1]RTO Register'!R$2:R$698,MATCH($A334,'[1]RTO Register'!$AA$2:$AA$698,0))</f>
        <v>#N/A</v>
      </c>
      <c r="P334" s="6" t="e">
        <f>INDEX('[1]RTO Register'!S$2:S$698,MATCH($A334,'[1]RTO Register'!$AA$2:$AA$698,0))</f>
        <v>#N/A</v>
      </c>
      <c r="Q334" s="6" t="e">
        <f t="shared" si="11"/>
        <v>#N/A</v>
      </c>
    </row>
    <row r="335" spans="6:17" x14ac:dyDescent="0.25">
      <c r="F335" s="1" t="str">
        <f t="shared" si="10"/>
        <v/>
      </c>
      <c r="G335" s="1" t="str">
        <f>IFERROR(IF(INDEX('[1]RTO Register'!AP$2:AP$698,MATCH($A335,'[1]RTO Register'!$AA$2:$AA$698,0))="Yes","School",""),"")</f>
        <v/>
      </c>
      <c r="H335" s="6" t="e">
        <f>INDEX('[1]RTO Register'!K$2:K$698,MATCH($A335,'[1]RTO Register'!$AA$2:$AA$698,0))</f>
        <v>#N/A</v>
      </c>
      <c r="I335" s="6" t="e">
        <f>INDEX('[1]RTO Register'!L$2:L$698,MATCH($A335,'[1]RTO Register'!$AA$2:$AA$698,0))</f>
        <v>#N/A</v>
      </c>
      <c r="J335" s="6" t="e">
        <f>INDEX('[1]RTO Register'!M$2:M$698,MATCH($A335,'[1]RTO Register'!$AA$2:$AA$698,0))</f>
        <v>#N/A</v>
      </c>
      <c r="K335" s="6" t="e">
        <f>INDEX('[1]RTO Register'!N$2:N$698,MATCH($A335,'[1]RTO Register'!$AA$2:$AA$698,0))</f>
        <v>#N/A</v>
      </c>
      <c r="L335" s="6" t="e">
        <f>INDEX('[1]RTO Register'!O$2:O$698,MATCH($A335,'[1]RTO Register'!$AA$2:$AA$698,0))</f>
        <v>#N/A</v>
      </c>
      <c r="M335" s="6" t="e">
        <f>INDEX('[1]RTO Register'!P$2:P$698,MATCH($A335,'[1]RTO Register'!$AA$2:$AA$698,0))</f>
        <v>#N/A</v>
      </c>
      <c r="N335" s="6" t="e">
        <f>INDEX('[1]RTO Register'!Q$2:Q$698,MATCH($A335,'[1]RTO Register'!$AA$2:$AA$698,0))</f>
        <v>#N/A</v>
      </c>
      <c r="O335" s="6" t="e">
        <f>INDEX('[1]RTO Register'!R$2:R$698,MATCH($A335,'[1]RTO Register'!$AA$2:$AA$698,0))</f>
        <v>#N/A</v>
      </c>
      <c r="P335" s="6" t="e">
        <f>INDEX('[1]RTO Register'!S$2:S$698,MATCH($A335,'[1]RTO Register'!$AA$2:$AA$698,0))</f>
        <v>#N/A</v>
      </c>
      <c r="Q335" s="6" t="e">
        <f t="shared" si="11"/>
        <v>#N/A</v>
      </c>
    </row>
    <row r="336" spans="6:17" x14ac:dyDescent="0.25">
      <c r="F336" s="1" t="str">
        <f t="shared" si="10"/>
        <v/>
      </c>
      <c r="G336" s="1" t="str">
        <f>IFERROR(IF(INDEX('[1]RTO Register'!AP$2:AP$698,MATCH($A336,'[1]RTO Register'!$AA$2:$AA$698,0))="Yes","School",""),"")</f>
        <v/>
      </c>
      <c r="H336" s="6" t="e">
        <f>INDEX('[1]RTO Register'!K$2:K$698,MATCH($A336,'[1]RTO Register'!$AA$2:$AA$698,0))</f>
        <v>#N/A</v>
      </c>
      <c r="I336" s="6" t="e">
        <f>INDEX('[1]RTO Register'!L$2:L$698,MATCH($A336,'[1]RTO Register'!$AA$2:$AA$698,0))</f>
        <v>#N/A</v>
      </c>
      <c r="J336" s="6" t="e">
        <f>INDEX('[1]RTO Register'!M$2:M$698,MATCH($A336,'[1]RTO Register'!$AA$2:$AA$698,0))</f>
        <v>#N/A</v>
      </c>
      <c r="K336" s="6" t="e">
        <f>INDEX('[1]RTO Register'!N$2:N$698,MATCH($A336,'[1]RTO Register'!$AA$2:$AA$698,0))</f>
        <v>#N/A</v>
      </c>
      <c r="L336" s="6" t="e">
        <f>INDEX('[1]RTO Register'!O$2:O$698,MATCH($A336,'[1]RTO Register'!$AA$2:$AA$698,0))</f>
        <v>#N/A</v>
      </c>
      <c r="M336" s="6" t="e">
        <f>INDEX('[1]RTO Register'!P$2:P$698,MATCH($A336,'[1]RTO Register'!$AA$2:$AA$698,0))</f>
        <v>#N/A</v>
      </c>
      <c r="N336" s="6" t="e">
        <f>INDEX('[1]RTO Register'!Q$2:Q$698,MATCH($A336,'[1]RTO Register'!$AA$2:$AA$698,0))</f>
        <v>#N/A</v>
      </c>
      <c r="O336" s="6" t="e">
        <f>INDEX('[1]RTO Register'!R$2:R$698,MATCH($A336,'[1]RTO Register'!$AA$2:$AA$698,0))</f>
        <v>#N/A</v>
      </c>
      <c r="P336" s="6" t="e">
        <f>INDEX('[1]RTO Register'!S$2:S$698,MATCH($A336,'[1]RTO Register'!$AA$2:$AA$698,0))</f>
        <v>#N/A</v>
      </c>
      <c r="Q336" s="6" t="e">
        <f t="shared" si="11"/>
        <v>#N/A</v>
      </c>
    </row>
    <row r="337" spans="6:17" x14ac:dyDescent="0.25">
      <c r="F337" s="1" t="str">
        <f t="shared" si="10"/>
        <v/>
      </c>
      <c r="G337" s="1" t="str">
        <f>IFERROR(IF(INDEX('[1]RTO Register'!AP$2:AP$698,MATCH($A337,'[1]RTO Register'!$AA$2:$AA$698,0))="Yes","School",""),"")</f>
        <v/>
      </c>
      <c r="H337" s="6" t="e">
        <f>INDEX('[1]RTO Register'!K$2:K$698,MATCH($A337,'[1]RTO Register'!$AA$2:$AA$698,0))</f>
        <v>#N/A</v>
      </c>
      <c r="I337" s="6" t="e">
        <f>INDEX('[1]RTO Register'!L$2:L$698,MATCH($A337,'[1]RTO Register'!$AA$2:$AA$698,0))</f>
        <v>#N/A</v>
      </c>
      <c r="J337" s="6" t="e">
        <f>INDEX('[1]RTO Register'!M$2:M$698,MATCH($A337,'[1]RTO Register'!$AA$2:$AA$698,0))</f>
        <v>#N/A</v>
      </c>
      <c r="K337" s="6" t="e">
        <f>INDEX('[1]RTO Register'!N$2:N$698,MATCH($A337,'[1]RTO Register'!$AA$2:$AA$698,0))</f>
        <v>#N/A</v>
      </c>
      <c r="L337" s="6" t="e">
        <f>INDEX('[1]RTO Register'!O$2:O$698,MATCH($A337,'[1]RTO Register'!$AA$2:$AA$698,0))</f>
        <v>#N/A</v>
      </c>
      <c r="M337" s="6" t="e">
        <f>INDEX('[1]RTO Register'!P$2:P$698,MATCH($A337,'[1]RTO Register'!$AA$2:$AA$698,0))</f>
        <v>#N/A</v>
      </c>
      <c r="N337" s="6" t="e">
        <f>INDEX('[1]RTO Register'!Q$2:Q$698,MATCH($A337,'[1]RTO Register'!$AA$2:$AA$698,0))</f>
        <v>#N/A</v>
      </c>
      <c r="O337" s="6" t="e">
        <f>INDEX('[1]RTO Register'!R$2:R$698,MATCH($A337,'[1]RTO Register'!$AA$2:$AA$698,0))</f>
        <v>#N/A</v>
      </c>
      <c r="P337" s="6" t="e">
        <f>INDEX('[1]RTO Register'!S$2:S$698,MATCH($A337,'[1]RTO Register'!$AA$2:$AA$698,0))</f>
        <v>#N/A</v>
      </c>
      <c r="Q337" s="6" t="e">
        <f t="shared" si="11"/>
        <v>#N/A</v>
      </c>
    </row>
    <row r="338" spans="6:17" x14ac:dyDescent="0.25">
      <c r="F338" s="1" t="str">
        <f t="shared" si="10"/>
        <v/>
      </c>
      <c r="G338" s="1" t="str">
        <f>IFERROR(IF(INDEX('[1]RTO Register'!AP$2:AP$698,MATCH($A338,'[1]RTO Register'!$AA$2:$AA$698,0))="Yes","School",""),"")</f>
        <v/>
      </c>
      <c r="H338" s="6" t="e">
        <f>INDEX('[1]RTO Register'!K$2:K$698,MATCH($A338,'[1]RTO Register'!$AA$2:$AA$698,0))</f>
        <v>#N/A</v>
      </c>
      <c r="I338" s="6" t="e">
        <f>INDEX('[1]RTO Register'!L$2:L$698,MATCH($A338,'[1]RTO Register'!$AA$2:$AA$698,0))</f>
        <v>#N/A</v>
      </c>
      <c r="J338" s="6" t="e">
        <f>INDEX('[1]RTO Register'!M$2:M$698,MATCH($A338,'[1]RTO Register'!$AA$2:$AA$698,0))</f>
        <v>#N/A</v>
      </c>
      <c r="K338" s="6" t="e">
        <f>INDEX('[1]RTO Register'!N$2:N$698,MATCH($A338,'[1]RTO Register'!$AA$2:$AA$698,0))</f>
        <v>#N/A</v>
      </c>
      <c r="L338" s="6" t="e">
        <f>INDEX('[1]RTO Register'!O$2:O$698,MATCH($A338,'[1]RTO Register'!$AA$2:$AA$698,0))</f>
        <v>#N/A</v>
      </c>
      <c r="M338" s="6" t="e">
        <f>INDEX('[1]RTO Register'!P$2:P$698,MATCH($A338,'[1]RTO Register'!$AA$2:$AA$698,0))</f>
        <v>#N/A</v>
      </c>
      <c r="N338" s="6" t="e">
        <f>INDEX('[1]RTO Register'!Q$2:Q$698,MATCH($A338,'[1]RTO Register'!$AA$2:$AA$698,0))</f>
        <v>#N/A</v>
      </c>
      <c r="O338" s="6" t="e">
        <f>INDEX('[1]RTO Register'!R$2:R$698,MATCH($A338,'[1]RTO Register'!$AA$2:$AA$698,0))</f>
        <v>#N/A</v>
      </c>
      <c r="P338" s="6" t="e">
        <f>INDEX('[1]RTO Register'!S$2:S$698,MATCH($A338,'[1]RTO Register'!$AA$2:$AA$698,0))</f>
        <v>#N/A</v>
      </c>
      <c r="Q338" s="6" t="e">
        <f t="shared" si="11"/>
        <v>#N/A</v>
      </c>
    </row>
    <row r="339" spans="6:17" x14ac:dyDescent="0.25">
      <c r="F339" s="1" t="str">
        <f t="shared" si="10"/>
        <v/>
      </c>
      <c r="G339" s="1" t="str">
        <f>IFERROR(IF(INDEX('[1]RTO Register'!AP$2:AP$698,MATCH($A339,'[1]RTO Register'!$AA$2:$AA$698,0))="Yes","School",""),"")</f>
        <v/>
      </c>
      <c r="H339" s="6" t="e">
        <f>INDEX('[1]RTO Register'!K$2:K$698,MATCH($A339,'[1]RTO Register'!$AA$2:$AA$698,0))</f>
        <v>#N/A</v>
      </c>
      <c r="I339" s="6" t="e">
        <f>INDEX('[1]RTO Register'!L$2:L$698,MATCH($A339,'[1]RTO Register'!$AA$2:$AA$698,0))</f>
        <v>#N/A</v>
      </c>
      <c r="J339" s="6" t="e">
        <f>INDEX('[1]RTO Register'!M$2:M$698,MATCH($A339,'[1]RTO Register'!$AA$2:$AA$698,0))</f>
        <v>#N/A</v>
      </c>
      <c r="K339" s="6" t="e">
        <f>INDEX('[1]RTO Register'!N$2:N$698,MATCH($A339,'[1]RTO Register'!$AA$2:$AA$698,0))</f>
        <v>#N/A</v>
      </c>
      <c r="L339" s="6" t="e">
        <f>INDEX('[1]RTO Register'!O$2:O$698,MATCH($A339,'[1]RTO Register'!$AA$2:$AA$698,0))</f>
        <v>#N/A</v>
      </c>
      <c r="M339" s="6" t="e">
        <f>INDEX('[1]RTO Register'!P$2:P$698,MATCH($A339,'[1]RTO Register'!$AA$2:$AA$698,0))</f>
        <v>#N/A</v>
      </c>
      <c r="N339" s="6" t="e">
        <f>INDEX('[1]RTO Register'!Q$2:Q$698,MATCH($A339,'[1]RTO Register'!$AA$2:$AA$698,0))</f>
        <v>#N/A</v>
      </c>
      <c r="O339" s="6" t="e">
        <f>INDEX('[1]RTO Register'!R$2:R$698,MATCH($A339,'[1]RTO Register'!$AA$2:$AA$698,0))</f>
        <v>#N/A</v>
      </c>
      <c r="P339" s="6" t="e">
        <f>INDEX('[1]RTO Register'!S$2:S$698,MATCH($A339,'[1]RTO Register'!$AA$2:$AA$698,0))</f>
        <v>#N/A</v>
      </c>
      <c r="Q339" s="6" t="e">
        <f t="shared" si="11"/>
        <v>#N/A</v>
      </c>
    </row>
    <row r="340" spans="6:17" x14ac:dyDescent="0.25">
      <c r="F340" s="1" t="str">
        <f t="shared" si="10"/>
        <v/>
      </c>
      <c r="G340" s="1" t="str">
        <f>IFERROR(IF(INDEX('[1]RTO Register'!AP$2:AP$698,MATCH($A340,'[1]RTO Register'!$AA$2:$AA$698,0))="Yes","School",""),"")</f>
        <v/>
      </c>
      <c r="H340" s="6" t="e">
        <f>INDEX('[1]RTO Register'!K$2:K$698,MATCH($A340,'[1]RTO Register'!$AA$2:$AA$698,0))</f>
        <v>#N/A</v>
      </c>
      <c r="I340" s="6" t="e">
        <f>INDEX('[1]RTO Register'!L$2:L$698,MATCH($A340,'[1]RTO Register'!$AA$2:$AA$698,0))</f>
        <v>#N/A</v>
      </c>
      <c r="J340" s="6" t="e">
        <f>INDEX('[1]RTO Register'!M$2:M$698,MATCH($A340,'[1]RTO Register'!$AA$2:$AA$698,0))</f>
        <v>#N/A</v>
      </c>
      <c r="K340" s="6" t="e">
        <f>INDEX('[1]RTO Register'!N$2:N$698,MATCH($A340,'[1]RTO Register'!$AA$2:$AA$698,0))</f>
        <v>#N/A</v>
      </c>
      <c r="L340" s="6" t="e">
        <f>INDEX('[1]RTO Register'!O$2:O$698,MATCH($A340,'[1]RTO Register'!$AA$2:$AA$698,0))</f>
        <v>#N/A</v>
      </c>
      <c r="M340" s="6" t="e">
        <f>INDEX('[1]RTO Register'!P$2:P$698,MATCH($A340,'[1]RTO Register'!$AA$2:$AA$698,0))</f>
        <v>#N/A</v>
      </c>
      <c r="N340" s="6" t="e">
        <f>INDEX('[1]RTO Register'!Q$2:Q$698,MATCH($A340,'[1]RTO Register'!$AA$2:$AA$698,0))</f>
        <v>#N/A</v>
      </c>
      <c r="O340" s="6" t="e">
        <f>INDEX('[1]RTO Register'!R$2:R$698,MATCH($A340,'[1]RTO Register'!$AA$2:$AA$698,0))</f>
        <v>#N/A</v>
      </c>
      <c r="P340" s="6" t="e">
        <f>INDEX('[1]RTO Register'!S$2:S$698,MATCH($A340,'[1]RTO Register'!$AA$2:$AA$698,0))</f>
        <v>#N/A</v>
      </c>
      <c r="Q340" s="6" t="e">
        <f t="shared" si="11"/>
        <v>#N/A</v>
      </c>
    </row>
    <row r="341" spans="6:17" x14ac:dyDescent="0.25">
      <c r="F341" s="1" t="str">
        <f t="shared" si="10"/>
        <v/>
      </c>
      <c r="G341" s="1" t="str">
        <f>IFERROR(IF(INDEX('[1]RTO Register'!AP$2:AP$698,MATCH($A341,'[1]RTO Register'!$AA$2:$AA$698,0))="Yes","School",""),"")</f>
        <v/>
      </c>
      <c r="H341" s="6" t="e">
        <f>INDEX('[1]RTO Register'!K$2:K$698,MATCH($A341,'[1]RTO Register'!$AA$2:$AA$698,0))</f>
        <v>#N/A</v>
      </c>
      <c r="I341" s="6" t="e">
        <f>INDEX('[1]RTO Register'!L$2:L$698,MATCH($A341,'[1]RTO Register'!$AA$2:$AA$698,0))</f>
        <v>#N/A</v>
      </c>
      <c r="J341" s="6" t="e">
        <f>INDEX('[1]RTO Register'!M$2:M$698,MATCH($A341,'[1]RTO Register'!$AA$2:$AA$698,0))</f>
        <v>#N/A</v>
      </c>
      <c r="K341" s="6" t="e">
        <f>INDEX('[1]RTO Register'!N$2:N$698,MATCH($A341,'[1]RTO Register'!$AA$2:$AA$698,0))</f>
        <v>#N/A</v>
      </c>
      <c r="L341" s="6" t="e">
        <f>INDEX('[1]RTO Register'!O$2:O$698,MATCH($A341,'[1]RTO Register'!$AA$2:$AA$698,0))</f>
        <v>#N/A</v>
      </c>
      <c r="M341" s="6" t="e">
        <f>INDEX('[1]RTO Register'!P$2:P$698,MATCH($A341,'[1]RTO Register'!$AA$2:$AA$698,0))</f>
        <v>#N/A</v>
      </c>
      <c r="N341" s="6" t="e">
        <f>INDEX('[1]RTO Register'!Q$2:Q$698,MATCH($A341,'[1]RTO Register'!$AA$2:$AA$698,0))</f>
        <v>#N/A</v>
      </c>
      <c r="O341" s="6" t="e">
        <f>INDEX('[1]RTO Register'!R$2:R$698,MATCH($A341,'[1]RTO Register'!$AA$2:$AA$698,0))</f>
        <v>#N/A</v>
      </c>
      <c r="P341" s="6" t="e">
        <f>INDEX('[1]RTO Register'!S$2:S$698,MATCH($A341,'[1]RTO Register'!$AA$2:$AA$698,0))</f>
        <v>#N/A</v>
      </c>
      <c r="Q341" s="6" t="e">
        <f t="shared" si="11"/>
        <v>#N/A</v>
      </c>
    </row>
    <row r="342" spans="6:17" x14ac:dyDescent="0.25">
      <c r="F342" s="1" t="str">
        <f t="shared" si="10"/>
        <v/>
      </c>
      <c r="G342" s="1" t="str">
        <f>IFERROR(IF(INDEX('[1]RTO Register'!AP$2:AP$698,MATCH($A342,'[1]RTO Register'!$AA$2:$AA$698,0))="Yes","School",""),"")</f>
        <v/>
      </c>
      <c r="H342" s="6" t="e">
        <f>INDEX('[1]RTO Register'!K$2:K$698,MATCH($A342,'[1]RTO Register'!$AA$2:$AA$698,0))</f>
        <v>#N/A</v>
      </c>
      <c r="I342" s="6" t="e">
        <f>INDEX('[1]RTO Register'!L$2:L$698,MATCH($A342,'[1]RTO Register'!$AA$2:$AA$698,0))</f>
        <v>#N/A</v>
      </c>
      <c r="J342" s="6" t="e">
        <f>INDEX('[1]RTO Register'!M$2:M$698,MATCH($A342,'[1]RTO Register'!$AA$2:$AA$698,0))</f>
        <v>#N/A</v>
      </c>
      <c r="K342" s="6" t="e">
        <f>INDEX('[1]RTO Register'!N$2:N$698,MATCH($A342,'[1]RTO Register'!$AA$2:$AA$698,0))</f>
        <v>#N/A</v>
      </c>
      <c r="L342" s="6" t="e">
        <f>INDEX('[1]RTO Register'!O$2:O$698,MATCH($A342,'[1]RTO Register'!$AA$2:$AA$698,0))</f>
        <v>#N/A</v>
      </c>
      <c r="M342" s="6" t="e">
        <f>INDEX('[1]RTO Register'!P$2:P$698,MATCH($A342,'[1]RTO Register'!$AA$2:$AA$698,0))</f>
        <v>#N/A</v>
      </c>
      <c r="N342" s="6" t="e">
        <f>INDEX('[1]RTO Register'!Q$2:Q$698,MATCH($A342,'[1]RTO Register'!$AA$2:$AA$698,0))</f>
        <v>#N/A</v>
      </c>
      <c r="O342" s="6" t="e">
        <f>INDEX('[1]RTO Register'!R$2:R$698,MATCH($A342,'[1]RTO Register'!$AA$2:$AA$698,0))</f>
        <v>#N/A</v>
      </c>
      <c r="P342" s="6" t="e">
        <f>INDEX('[1]RTO Register'!S$2:S$698,MATCH($A342,'[1]RTO Register'!$AA$2:$AA$698,0))</f>
        <v>#N/A</v>
      </c>
      <c r="Q342" s="6" t="e">
        <f t="shared" si="11"/>
        <v>#N/A</v>
      </c>
    </row>
    <row r="343" spans="6:17" x14ac:dyDescent="0.25">
      <c r="F343" s="1" t="str">
        <f t="shared" si="10"/>
        <v/>
      </c>
      <c r="G343" s="1" t="str">
        <f>IFERROR(IF(INDEX('[1]RTO Register'!AP$2:AP$698,MATCH($A343,'[1]RTO Register'!$AA$2:$AA$698,0))="Yes","School",""),"")</f>
        <v/>
      </c>
      <c r="H343" s="6" t="e">
        <f>INDEX('[1]RTO Register'!K$2:K$698,MATCH($A343,'[1]RTO Register'!$AA$2:$AA$698,0))</f>
        <v>#N/A</v>
      </c>
      <c r="I343" s="6" t="e">
        <f>INDEX('[1]RTO Register'!L$2:L$698,MATCH($A343,'[1]RTO Register'!$AA$2:$AA$698,0))</f>
        <v>#N/A</v>
      </c>
      <c r="J343" s="6" t="e">
        <f>INDEX('[1]RTO Register'!M$2:M$698,MATCH($A343,'[1]RTO Register'!$AA$2:$AA$698,0))</f>
        <v>#N/A</v>
      </c>
      <c r="K343" s="6" t="e">
        <f>INDEX('[1]RTO Register'!N$2:N$698,MATCH($A343,'[1]RTO Register'!$AA$2:$AA$698,0))</f>
        <v>#N/A</v>
      </c>
      <c r="L343" s="6" t="e">
        <f>INDEX('[1]RTO Register'!O$2:O$698,MATCH($A343,'[1]RTO Register'!$AA$2:$AA$698,0))</f>
        <v>#N/A</v>
      </c>
      <c r="M343" s="6" t="e">
        <f>INDEX('[1]RTO Register'!P$2:P$698,MATCH($A343,'[1]RTO Register'!$AA$2:$AA$698,0))</f>
        <v>#N/A</v>
      </c>
      <c r="N343" s="6" t="e">
        <f>INDEX('[1]RTO Register'!Q$2:Q$698,MATCH($A343,'[1]RTO Register'!$AA$2:$AA$698,0))</f>
        <v>#N/A</v>
      </c>
      <c r="O343" s="6" t="e">
        <f>INDEX('[1]RTO Register'!R$2:R$698,MATCH($A343,'[1]RTO Register'!$AA$2:$AA$698,0))</f>
        <v>#N/A</v>
      </c>
      <c r="P343" s="6" t="e">
        <f>INDEX('[1]RTO Register'!S$2:S$698,MATCH($A343,'[1]RTO Register'!$AA$2:$AA$698,0))</f>
        <v>#N/A</v>
      </c>
      <c r="Q343" s="6" t="e">
        <f t="shared" si="11"/>
        <v>#N/A</v>
      </c>
    </row>
    <row r="344" spans="6:17" x14ac:dyDescent="0.25">
      <c r="F344" s="1" t="str">
        <f t="shared" si="10"/>
        <v/>
      </c>
      <c r="G344" s="1" t="str">
        <f>IFERROR(IF(INDEX('[1]RTO Register'!AP$2:AP$698,MATCH($A344,'[1]RTO Register'!$AA$2:$AA$698,0))="Yes","School",""),"")</f>
        <v/>
      </c>
      <c r="H344" s="6" t="e">
        <f>INDEX('[1]RTO Register'!K$2:K$698,MATCH($A344,'[1]RTO Register'!$AA$2:$AA$698,0))</f>
        <v>#N/A</v>
      </c>
      <c r="I344" s="6" t="e">
        <f>INDEX('[1]RTO Register'!L$2:L$698,MATCH($A344,'[1]RTO Register'!$AA$2:$AA$698,0))</f>
        <v>#N/A</v>
      </c>
      <c r="J344" s="6" t="e">
        <f>INDEX('[1]RTO Register'!M$2:M$698,MATCH($A344,'[1]RTO Register'!$AA$2:$AA$698,0))</f>
        <v>#N/A</v>
      </c>
      <c r="K344" s="6" t="e">
        <f>INDEX('[1]RTO Register'!N$2:N$698,MATCH($A344,'[1]RTO Register'!$AA$2:$AA$698,0))</f>
        <v>#N/A</v>
      </c>
      <c r="L344" s="6" t="e">
        <f>INDEX('[1]RTO Register'!O$2:O$698,MATCH($A344,'[1]RTO Register'!$AA$2:$AA$698,0))</f>
        <v>#N/A</v>
      </c>
      <c r="M344" s="6" t="e">
        <f>INDEX('[1]RTO Register'!P$2:P$698,MATCH($A344,'[1]RTO Register'!$AA$2:$AA$698,0))</f>
        <v>#N/A</v>
      </c>
      <c r="N344" s="6" t="e">
        <f>INDEX('[1]RTO Register'!Q$2:Q$698,MATCH($A344,'[1]RTO Register'!$AA$2:$AA$698,0))</f>
        <v>#N/A</v>
      </c>
      <c r="O344" s="6" t="e">
        <f>INDEX('[1]RTO Register'!R$2:R$698,MATCH($A344,'[1]RTO Register'!$AA$2:$AA$698,0))</f>
        <v>#N/A</v>
      </c>
      <c r="P344" s="6" t="e">
        <f>INDEX('[1]RTO Register'!S$2:S$698,MATCH($A344,'[1]RTO Register'!$AA$2:$AA$698,0))</f>
        <v>#N/A</v>
      </c>
      <c r="Q344" s="6" t="e">
        <f t="shared" si="11"/>
        <v>#N/A</v>
      </c>
    </row>
    <row r="345" spans="6:17" x14ac:dyDescent="0.25">
      <c r="F345" s="1" t="str">
        <f t="shared" si="10"/>
        <v/>
      </c>
      <c r="G345" s="1" t="str">
        <f>IFERROR(IF(INDEX('[1]RTO Register'!AP$2:AP$698,MATCH($A345,'[1]RTO Register'!$AA$2:$AA$698,0))="Yes","School",""),"")</f>
        <v/>
      </c>
      <c r="H345" s="6" t="e">
        <f>INDEX('[1]RTO Register'!K$2:K$698,MATCH($A345,'[1]RTO Register'!$AA$2:$AA$698,0))</f>
        <v>#N/A</v>
      </c>
      <c r="I345" s="6" t="e">
        <f>INDEX('[1]RTO Register'!L$2:L$698,MATCH($A345,'[1]RTO Register'!$AA$2:$AA$698,0))</f>
        <v>#N/A</v>
      </c>
      <c r="J345" s="6" t="e">
        <f>INDEX('[1]RTO Register'!M$2:M$698,MATCH($A345,'[1]RTO Register'!$AA$2:$AA$698,0))</f>
        <v>#N/A</v>
      </c>
      <c r="K345" s="6" t="e">
        <f>INDEX('[1]RTO Register'!N$2:N$698,MATCH($A345,'[1]RTO Register'!$AA$2:$AA$698,0))</f>
        <v>#N/A</v>
      </c>
      <c r="L345" s="6" t="e">
        <f>INDEX('[1]RTO Register'!O$2:O$698,MATCH($A345,'[1]RTO Register'!$AA$2:$AA$698,0))</f>
        <v>#N/A</v>
      </c>
      <c r="M345" s="6" t="e">
        <f>INDEX('[1]RTO Register'!P$2:P$698,MATCH($A345,'[1]RTO Register'!$AA$2:$AA$698,0))</f>
        <v>#N/A</v>
      </c>
      <c r="N345" s="6" t="e">
        <f>INDEX('[1]RTO Register'!Q$2:Q$698,MATCH($A345,'[1]RTO Register'!$AA$2:$AA$698,0))</f>
        <v>#N/A</v>
      </c>
      <c r="O345" s="6" t="e">
        <f>INDEX('[1]RTO Register'!R$2:R$698,MATCH($A345,'[1]RTO Register'!$AA$2:$AA$698,0))</f>
        <v>#N/A</v>
      </c>
      <c r="P345" s="6" t="e">
        <f>INDEX('[1]RTO Register'!S$2:S$698,MATCH($A345,'[1]RTO Register'!$AA$2:$AA$698,0))</f>
        <v>#N/A</v>
      </c>
      <c r="Q345" s="6" t="e">
        <f t="shared" si="11"/>
        <v>#N/A</v>
      </c>
    </row>
    <row r="346" spans="6:17" x14ac:dyDescent="0.25">
      <c r="F346" s="1" t="str">
        <f t="shared" si="10"/>
        <v/>
      </c>
      <c r="G346" s="1" t="str">
        <f>IFERROR(IF(INDEX('[1]RTO Register'!AP$2:AP$698,MATCH($A346,'[1]RTO Register'!$AA$2:$AA$698,0))="Yes","School",""),"")</f>
        <v/>
      </c>
      <c r="H346" s="6" t="e">
        <f>INDEX('[1]RTO Register'!K$2:K$698,MATCH($A346,'[1]RTO Register'!$AA$2:$AA$698,0))</f>
        <v>#N/A</v>
      </c>
      <c r="I346" s="6" t="e">
        <f>INDEX('[1]RTO Register'!L$2:L$698,MATCH($A346,'[1]RTO Register'!$AA$2:$AA$698,0))</f>
        <v>#N/A</v>
      </c>
      <c r="J346" s="6" t="e">
        <f>INDEX('[1]RTO Register'!M$2:M$698,MATCH($A346,'[1]RTO Register'!$AA$2:$AA$698,0))</f>
        <v>#N/A</v>
      </c>
      <c r="K346" s="6" t="e">
        <f>INDEX('[1]RTO Register'!N$2:N$698,MATCH($A346,'[1]RTO Register'!$AA$2:$AA$698,0))</f>
        <v>#N/A</v>
      </c>
      <c r="L346" s="6" t="e">
        <f>INDEX('[1]RTO Register'!O$2:O$698,MATCH($A346,'[1]RTO Register'!$AA$2:$AA$698,0))</f>
        <v>#N/A</v>
      </c>
      <c r="M346" s="6" t="e">
        <f>INDEX('[1]RTO Register'!P$2:P$698,MATCH($A346,'[1]RTO Register'!$AA$2:$AA$698,0))</f>
        <v>#N/A</v>
      </c>
      <c r="N346" s="6" t="e">
        <f>INDEX('[1]RTO Register'!Q$2:Q$698,MATCH($A346,'[1]RTO Register'!$AA$2:$AA$698,0))</f>
        <v>#N/A</v>
      </c>
      <c r="O346" s="6" t="e">
        <f>INDEX('[1]RTO Register'!R$2:R$698,MATCH($A346,'[1]RTO Register'!$AA$2:$AA$698,0))</f>
        <v>#N/A</v>
      </c>
      <c r="P346" s="6" t="e">
        <f>INDEX('[1]RTO Register'!S$2:S$698,MATCH($A346,'[1]RTO Register'!$AA$2:$AA$698,0))</f>
        <v>#N/A</v>
      </c>
      <c r="Q346" s="6" t="e">
        <f t="shared" si="11"/>
        <v>#N/A</v>
      </c>
    </row>
    <row r="347" spans="6:17" x14ac:dyDescent="0.25">
      <c r="F347" s="1" t="str">
        <f t="shared" si="10"/>
        <v/>
      </c>
      <c r="G347" s="1" t="str">
        <f>IFERROR(IF(INDEX('[1]RTO Register'!AP$2:AP$698,MATCH($A347,'[1]RTO Register'!$AA$2:$AA$698,0))="Yes","School",""),"")</f>
        <v/>
      </c>
      <c r="H347" s="6" t="e">
        <f>INDEX('[1]RTO Register'!K$2:K$698,MATCH($A347,'[1]RTO Register'!$AA$2:$AA$698,0))</f>
        <v>#N/A</v>
      </c>
      <c r="I347" s="6" t="e">
        <f>INDEX('[1]RTO Register'!L$2:L$698,MATCH($A347,'[1]RTO Register'!$AA$2:$AA$698,0))</f>
        <v>#N/A</v>
      </c>
      <c r="J347" s="6" t="e">
        <f>INDEX('[1]RTO Register'!M$2:M$698,MATCH($A347,'[1]RTO Register'!$AA$2:$AA$698,0))</f>
        <v>#N/A</v>
      </c>
      <c r="K347" s="6" t="e">
        <f>INDEX('[1]RTO Register'!N$2:N$698,MATCH($A347,'[1]RTO Register'!$AA$2:$AA$698,0))</f>
        <v>#N/A</v>
      </c>
      <c r="L347" s="6" t="e">
        <f>INDEX('[1]RTO Register'!O$2:O$698,MATCH($A347,'[1]RTO Register'!$AA$2:$AA$698,0))</f>
        <v>#N/A</v>
      </c>
      <c r="M347" s="6" t="e">
        <f>INDEX('[1]RTO Register'!P$2:P$698,MATCH($A347,'[1]RTO Register'!$AA$2:$AA$698,0))</f>
        <v>#N/A</v>
      </c>
      <c r="N347" s="6" t="e">
        <f>INDEX('[1]RTO Register'!Q$2:Q$698,MATCH($A347,'[1]RTO Register'!$AA$2:$AA$698,0))</f>
        <v>#N/A</v>
      </c>
      <c r="O347" s="6" t="e">
        <f>INDEX('[1]RTO Register'!R$2:R$698,MATCH($A347,'[1]RTO Register'!$AA$2:$AA$698,0))</f>
        <v>#N/A</v>
      </c>
      <c r="P347" s="6" t="e">
        <f>INDEX('[1]RTO Register'!S$2:S$698,MATCH($A347,'[1]RTO Register'!$AA$2:$AA$698,0))</f>
        <v>#N/A</v>
      </c>
      <c r="Q347" s="6" t="e">
        <f t="shared" si="11"/>
        <v>#N/A</v>
      </c>
    </row>
    <row r="348" spans="6:17" x14ac:dyDescent="0.25">
      <c r="F348" s="1" t="str">
        <f t="shared" si="10"/>
        <v/>
      </c>
      <c r="G348" s="1" t="str">
        <f>IFERROR(IF(INDEX('[1]RTO Register'!AP$2:AP$698,MATCH($A348,'[1]RTO Register'!$AA$2:$AA$698,0))="Yes","School",""),"")</f>
        <v/>
      </c>
      <c r="H348" s="6" t="e">
        <f>INDEX('[1]RTO Register'!K$2:K$698,MATCH($A348,'[1]RTO Register'!$AA$2:$AA$698,0))</f>
        <v>#N/A</v>
      </c>
      <c r="I348" s="6" t="e">
        <f>INDEX('[1]RTO Register'!L$2:L$698,MATCH($A348,'[1]RTO Register'!$AA$2:$AA$698,0))</f>
        <v>#N/A</v>
      </c>
      <c r="J348" s="6" t="e">
        <f>INDEX('[1]RTO Register'!M$2:M$698,MATCH($A348,'[1]RTO Register'!$AA$2:$AA$698,0))</f>
        <v>#N/A</v>
      </c>
      <c r="K348" s="6" t="e">
        <f>INDEX('[1]RTO Register'!N$2:N$698,MATCH($A348,'[1]RTO Register'!$AA$2:$AA$698,0))</f>
        <v>#N/A</v>
      </c>
      <c r="L348" s="6" t="e">
        <f>INDEX('[1]RTO Register'!O$2:O$698,MATCH($A348,'[1]RTO Register'!$AA$2:$AA$698,0))</f>
        <v>#N/A</v>
      </c>
      <c r="M348" s="6" t="e">
        <f>INDEX('[1]RTO Register'!P$2:P$698,MATCH($A348,'[1]RTO Register'!$AA$2:$AA$698,0))</f>
        <v>#N/A</v>
      </c>
      <c r="N348" s="6" t="e">
        <f>INDEX('[1]RTO Register'!Q$2:Q$698,MATCH($A348,'[1]RTO Register'!$AA$2:$AA$698,0))</f>
        <v>#N/A</v>
      </c>
      <c r="O348" s="6" t="e">
        <f>INDEX('[1]RTO Register'!R$2:R$698,MATCH($A348,'[1]RTO Register'!$AA$2:$AA$698,0))</f>
        <v>#N/A</v>
      </c>
      <c r="P348" s="6" t="e">
        <f>INDEX('[1]RTO Register'!S$2:S$698,MATCH($A348,'[1]RTO Register'!$AA$2:$AA$698,0))</f>
        <v>#N/A</v>
      </c>
      <c r="Q348" s="6" t="e">
        <f t="shared" si="11"/>
        <v>#N/A</v>
      </c>
    </row>
    <row r="349" spans="6:17" x14ac:dyDescent="0.25">
      <c r="F349" s="1" t="str">
        <f t="shared" si="10"/>
        <v/>
      </c>
      <c r="G349" s="1" t="str">
        <f>IFERROR(IF(INDEX('[1]RTO Register'!AP$2:AP$698,MATCH($A349,'[1]RTO Register'!$AA$2:$AA$698,0))="Yes","School",""),"")</f>
        <v/>
      </c>
      <c r="H349" s="6" t="e">
        <f>INDEX('[1]RTO Register'!K$2:K$698,MATCH($A349,'[1]RTO Register'!$AA$2:$AA$698,0))</f>
        <v>#N/A</v>
      </c>
      <c r="I349" s="6" t="e">
        <f>INDEX('[1]RTO Register'!L$2:L$698,MATCH($A349,'[1]RTO Register'!$AA$2:$AA$698,0))</f>
        <v>#N/A</v>
      </c>
      <c r="J349" s="6" t="e">
        <f>INDEX('[1]RTO Register'!M$2:M$698,MATCH($A349,'[1]RTO Register'!$AA$2:$AA$698,0))</f>
        <v>#N/A</v>
      </c>
      <c r="K349" s="6" t="e">
        <f>INDEX('[1]RTO Register'!N$2:N$698,MATCH($A349,'[1]RTO Register'!$AA$2:$AA$698,0))</f>
        <v>#N/A</v>
      </c>
      <c r="L349" s="6" t="e">
        <f>INDEX('[1]RTO Register'!O$2:O$698,MATCH($A349,'[1]RTO Register'!$AA$2:$AA$698,0))</f>
        <v>#N/A</v>
      </c>
      <c r="M349" s="6" t="e">
        <f>INDEX('[1]RTO Register'!P$2:P$698,MATCH($A349,'[1]RTO Register'!$AA$2:$AA$698,0))</f>
        <v>#N/A</v>
      </c>
      <c r="N349" s="6" t="e">
        <f>INDEX('[1]RTO Register'!Q$2:Q$698,MATCH($A349,'[1]RTO Register'!$AA$2:$AA$698,0))</f>
        <v>#N/A</v>
      </c>
      <c r="O349" s="6" t="e">
        <f>INDEX('[1]RTO Register'!R$2:R$698,MATCH($A349,'[1]RTO Register'!$AA$2:$AA$698,0))</f>
        <v>#N/A</v>
      </c>
      <c r="P349" s="6" t="e">
        <f>INDEX('[1]RTO Register'!S$2:S$698,MATCH($A349,'[1]RTO Register'!$AA$2:$AA$698,0))</f>
        <v>#N/A</v>
      </c>
      <c r="Q349" s="6" t="e">
        <f t="shared" si="11"/>
        <v>#N/A</v>
      </c>
    </row>
    <row r="350" spans="6:17" x14ac:dyDescent="0.25">
      <c r="F350" s="1" t="str">
        <f t="shared" si="10"/>
        <v/>
      </c>
      <c r="G350" s="1" t="str">
        <f>IFERROR(IF(INDEX('[1]RTO Register'!AP$2:AP$698,MATCH($A350,'[1]RTO Register'!$AA$2:$AA$698,0))="Yes","School",""),"")</f>
        <v/>
      </c>
      <c r="H350" s="6" t="e">
        <f>INDEX('[1]RTO Register'!K$2:K$698,MATCH($A350,'[1]RTO Register'!$AA$2:$AA$698,0))</f>
        <v>#N/A</v>
      </c>
      <c r="I350" s="6" t="e">
        <f>INDEX('[1]RTO Register'!L$2:L$698,MATCH($A350,'[1]RTO Register'!$AA$2:$AA$698,0))</f>
        <v>#N/A</v>
      </c>
      <c r="J350" s="6" t="e">
        <f>INDEX('[1]RTO Register'!M$2:M$698,MATCH($A350,'[1]RTO Register'!$AA$2:$AA$698,0))</f>
        <v>#N/A</v>
      </c>
      <c r="K350" s="6" t="e">
        <f>INDEX('[1]RTO Register'!N$2:N$698,MATCH($A350,'[1]RTO Register'!$AA$2:$AA$698,0))</f>
        <v>#N/A</v>
      </c>
      <c r="L350" s="6" t="e">
        <f>INDEX('[1]RTO Register'!O$2:O$698,MATCH($A350,'[1]RTO Register'!$AA$2:$AA$698,0))</f>
        <v>#N/A</v>
      </c>
      <c r="M350" s="6" t="e">
        <f>INDEX('[1]RTO Register'!P$2:P$698,MATCH($A350,'[1]RTO Register'!$AA$2:$AA$698,0))</f>
        <v>#N/A</v>
      </c>
      <c r="N350" s="6" t="e">
        <f>INDEX('[1]RTO Register'!Q$2:Q$698,MATCH($A350,'[1]RTO Register'!$AA$2:$AA$698,0))</f>
        <v>#N/A</v>
      </c>
      <c r="O350" s="6" t="e">
        <f>INDEX('[1]RTO Register'!R$2:R$698,MATCH($A350,'[1]RTO Register'!$AA$2:$AA$698,0))</f>
        <v>#N/A</v>
      </c>
      <c r="P350" s="6" t="e">
        <f>INDEX('[1]RTO Register'!S$2:S$698,MATCH($A350,'[1]RTO Register'!$AA$2:$AA$698,0))</f>
        <v>#N/A</v>
      </c>
      <c r="Q350" s="6" t="e">
        <f t="shared" si="11"/>
        <v>#N/A</v>
      </c>
    </row>
    <row r="351" spans="6:17" x14ac:dyDescent="0.25">
      <c r="F351" s="1" t="str">
        <f t="shared" si="10"/>
        <v/>
      </c>
      <c r="G351" s="1" t="str">
        <f>IFERROR(IF(INDEX('[1]RTO Register'!AP$2:AP$698,MATCH($A351,'[1]RTO Register'!$AA$2:$AA$698,0))="Yes","School",""),"")</f>
        <v/>
      </c>
      <c r="H351" s="6" t="e">
        <f>INDEX('[1]RTO Register'!K$2:K$698,MATCH($A351,'[1]RTO Register'!$AA$2:$AA$698,0))</f>
        <v>#N/A</v>
      </c>
      <c r="I351" s="6" t="e">
        <f>INDEX('[1]RTO Register'!L$2:L$698,MATCH($A351,'[1]RTO Register'!$AA$2:$AA$698,0))</f>
        <v>#N/A</v>
      </c>
      <c r="J351" s="6" t="e">
        <f>INDEX('[1]RTO Register'!M$2:M$698,MATCH($A351,'[1]RTO Register'!$AA$2:$AA$698,0))</f>
        <v>#N/A</v>
      </c>
      <c r="K351" s="6" t="e">
        <f>INDEX('[1]RTO Register'!N$2:N$698,MATCH($A351,'[1]RTO Register'!$AA$2:$AA$698,0))</f>
        <v>#N/A</v>
      </c>
      <c r="L351" s="6" t="e">
        <f>INDEX('[1]RTO Register'!O$2:O$698,MATCH($A351,'[1]RTO Register'!$AA$2:$AA$698,0))</f>
        <v>#N/A</v>
      </c>
      <c r="M351" s="6" t="e">
        <f>INDEX('[1]RTO Register'!P$2:P$698,MATCH($A351,'[1]RTO Register'!$AA$2:$AA$698,0))</f>
        <v>#N/A</v>
      </c>
      <c r="N351" s="6" t="e">
        <f>INDEX('[1]RTO Register'!Q$2:Q$698,MATCH($A351,'[1]RTO Register'!$AA$2:$AA$698,0))</f>
        <v>#N/A</v>
      </c>
      <c r="O351" s="6" t="e">
        <f>INDEX('[1]RTO Register'!R$2:R$698,MATCH($A351,'[1]RTO Register'!$AA$2:$AA$698,0))</f>
        <v>#N/A</v>
      </c>
      <c r="P351" s="6" t="e">
        <f>INDEX('[1]RTO Register'!S$2:S$698,MATCH($A351,'[1]RTO Register'!$AA$2:$AA$698,0))</f>
        <v>#N/A</v>
      </c>
      <c r="Q351" s="6" t="e">
        <f t="shared" si="11"/>
        <v>#N/A</v>
      </c>
    </row>
    <row r="352" spans="6:17" x14ac:dyDescent="0.25">
      <c r="F352" s="1" t="str">
        <f t="shared" si="10"/>
        <v/>
      </c>
      <c r="G352" s="1" t="str">
        <f>IFERROR(IF(INDEX('[1]RTO Register'!AP$2:AP$698,MATCH($A352,'[1]RTO Register'!$AA$2:$AA$698,0))="Yes","School",""),"")</f>
        <v/>
      </c>
      <c r="H352" s="6" t="e">
        <f>INDEX('[1]RTO Register'!K$2:K$698,MATCH($A352,'[1]RTO Register'!$AA$2:$AA$698,0))</f>
        <v>#N/A</v>
      </c>
      <c r="I352" s="6" t="e">
        <f>INDEX('[1]RTO Register'!L$2:L$698,MATCH($A352,'[1]RTO Register'!$AA$2:$AA$698,0))</f>
        <v>#N/A</v>
      </c>
      <c r="J352" s="6" t="e">
        <f>INDEX('[1]RTO Register'!M$2:M$698,MATCH($A352,'[1]RTO Register'!$AA$2:$AA$698,0))</f>
        <v>#N/A</v>
      </c>
      <c r="K352" s="6" t="e">
        <f>INDEX('[1]RTO Register'!N$2:N$698,MATCH($A352,'[1]RTO Register'!$AA$2:$AA$698,0))</f>
        <v>#N/A</v>
      </c>
      <c r="L352" s="6" t="e">
        <f>INDEX('[1]RTO Register'!O$2:O$698,MATCH($A352,'[1]RTO Register'!$AA$2:$AA$698,0))</f>
        <v>#N/A</v>
      </c>
      <c r="M352" s="6" t="e">
        <f>INDEX('[1]RTO Register'!P$2:P$698,MATCH($A352,'[1]RTO Register'!$AA$2:$AA$698,0))</f>
        <v>#N/A</v>
      </c>
      <c r="N352" s="6" t="e">
        <f>INDEX('[1]RTO Register'!Q$2:Q$698,MATCH($A352,'[1]RTO Register'!$AA$2:$AA$698,0))</f>
        <v>#N/A</v>
      </c>
      <c r="O352" s="6" t="e">
        <f>INDEX('[1]RTO Register'!R$2:R$698,MATCH($A352,'[1]RTO Register'!$AA$2:$AA$698,0))</f>
        <v>#N/A</v>
      </c>
      <c r="P352" s="6" t="e">
        <f>INDEX('[1]RTO Register'!S$2:S$698,MATCH($A352,'[1]RTO Register'!$AA$2:$AA$698,0))</f>
        <v>#N/A</v>
      </c>
      <c r="Q352" s="6" t="e">
        <f t="shared" si="11"/>
        <v>#N/A</v>
      </c>
    </row>
    <row r="353" spans="6:17" x14ac:dyDescent="0.25">
      <c r="F353" s="1" t="str">
        <f t="shared" si="10"/>
        <v/>
      </c>
      <c r="G353" s="1" t="str">
        <f>IFERROR(IF(INDEX('[1]RTO Register'!AP$2:AP$698,MATCH($A353,'[1]RTO Register'!$AA$2:$AA$698,0))="Yes","School",""),"")</f>
        <v/>
      </c>
      <c r="H353" s="6" t="e">
        <f>INDEX('[1]RTO Register'!K$2:K$698,MATCH($A353,'[1]RTO Register'!$AA$2:$AA$698,0))</f>
        <v>#N/A</v>
      </c>
      <c r="I353" s="6" t="e">
        <f>INDEX('[1]RTO Register'!L$2:L$698,MATCH($A353,'[1]RTO Register'!$AA$2:$AA$698,0))</f>
        <v>#N/A</v>
      </c>
      <c r="J353" s="6" t="e">
        <f>INDEX('[1]RTO Register'!M$2:M$698,MATCH($A353,'[1]RTO Register'!$AA$2:$AA$698,0))</f>
        <v>#N/A</v>
      </c>
      <c r="K353" s="6" t="e">
        <f>INDEX('[1]RTO Register'!N$2:N$698,MATCH($A353,'[1]RTO Register'!$AA$2:$AA$698,0))</f>
        <v>#N/A</v>
      </c>
      <c r="L353" s="6" t="e">
        <f>INDEX('[1]RTO Register'!O$2:O$698,MATCH($A353,'[1]RTO Register'!$AA$2:$AA$698,0))</f>
        <v>#N/A</v>
      </c>
      <c r="M353" s="6" t="e">
        <f>INDEX('[1]RTO Register'!P$2:P$698,MATCH($A353,'[1]RTO Register'!$AA$2:$AA$698,0))</f>
        <v>#N/A</v>
      </c>
      <c r="N353" s="6" t="e">
        <f>INDEX('[1]RTO Register'!Q$2:Q$698,MATCH($A353,'[1]RTO Register'!$AA$2:$AA$698,0))</f>
        <v>#N/A</v>
      </c>
      <c r="O353" s="6" t="e">
        <f>INDEX('[1]RTO Register'!R$2:R$698,MATCH($A353,'[1]RTO Register'!$AA$2:$AA$698,0))</f>
        <v>#N/A</v>
      </c>
      <c r="P353" s="6" t="e">
        <f>INDEX('[1]RTO Register'!S$2:S$698,MATCH($A353,'[1]RTO Register'!$AA$2:$AA$698,0))</f>
        <v>#N/A</v>
      </c>
      <c r="Q353" s="6" t="e">
        <f t="shared" si="11"/>
        <v>#N/A</v>
      </c>
    </row>
    <row r="354" spans="6:17" x14ac:dyDescent="0.25">
      <c r="F354" s="1" t="str">
        <f t="shared" si="10"/>
        <v/>
      </c>
      <c r="G354" s="1" t="str">
        <f>IFERROR(IF(INDEX('[1]RTO Register'!AP$2:AP$698,MATCH($A354,'[1]RTO Register'!$AA$2:$AA$698,0))="Yes","School",""),"")</f>
        <v/>
      </c>
      <c r="H354" s="6" t="e">
        <f>INDEX('[1]RTO Register'!K$2:K$698,MATCH($A354,'[1]RTO Register'!$AA$2:$AA$698,0))</f>
        <v>#N/A</v>
      </c>
      <c r="I354" s="6" t="e">
        <f>INDEX('[1]RTO Register'!L$2:L$698,MATCH($A354,'[1]RTO Register'!$AA$2:$AA$698,0))</f>
        <v>#N/A</v>
      </c>
      <c r="J354" s="6" t="e">
        <f>INDEX('[1]RTO Register'!M$2:M$698,MATCH($A354,'[1]RTO Register'!$AA$2:$AA$698,0))</f>
        <v>#N/A</v>
      </c>
      <c r="K354" s="6" t="e">
        <f>INDEX('[1]RTO Register'!N$2:N$698,MATCH($A354,'[1]RTO Register'!$AA$2:$AA$698,0))</f>
        <v>#N/A</v>
      </c>
      <c r="L354" s="6" t="e">
        <f>INDEX('[1]RTO Register'!O$2:O$698,MATCH($A354,'[1]RTO Register'!$AA$2:$AA$698,0))</f>
        <v>#N/A</v>
      </c>
      <c r="M354" s="6" t="e">
        <f>INDEX('[1]RTO Register'!P$2:P$698,MATCH($A354,'[1]RTO Register'!$AA$2:$AA$698,0))</f>
        <v>#N/A</v>
      </c>
      <c r="N354" s="6" t="e">
        <f>INDEX('[1]RTO Register'!Q$2:Q$698,MATCH($A354,'[1]RTO Register'!$AA$2:$AA$698,0))</f>
        <v>#N/A</v>
      </c>
      <c r="O354" s="6" t="e">
        <f>INDEX('[1]RTO Register'!R$2:R$698,MATCH($A354,'[1]RTO Register'!$AA$2:$AA$698,0))</f>
        <v>#N/A</v>
      </c>
      <c r="P354" s="6" t="e">
        <f>INDEX('[1]RTO Register'!S$2:S$698,MATCH($A354,'[1]RTO Register'!$AA$2:$AA$698,0))</f>
        <v>#N/A</v>
      </c>
      <c r="Q354" s="6" t="e">
        <f t="shared" si="11"/>
        <v>#N/A</v>
      </c>
    </row>
    <row r="355" spans="6:17" x14ac:dyDescent="0.25">
      <c r="F355" s="1" t="str">
        <f t="shared" si="10"/>
        <v/>
      </c>
      <c r="G355" s="1" t="str">
        <f>IFERROR(IF(INDEX('[1]RTO Register'!AP$2:AP$698,MATCH($A355,'[1]RTO Register'!$AA$2:$AA$698,0))="Yes","School",""),"")</f>
        <v/>
      </c>
      <c r="H355" s="6" t="e">
        <f>INDEX('[1]RTO Register'!K$2:K$698,MATCH($A355,'[1]RTO Register'!$AA$2:$AA$698,0))</f>
        <v>#N/A</v>
      </c>
      <c r="I355" s="6" t="e">
        <f>INDEX('[1]RTO Register'!L$2:L$698,MATCH($A355,'[1]RTO Register'!$AA$2:$AA$698,0))</f>
        <v>#N/A</v>
      </c>
      <c r="J355" s="6" t="e">
        <f>INDEX('[1]RTO Register'!M$2:M$698,MATCH($A355,'[1]RTO Register'!$AA$2:$AA$698,0))</f>
        <v>#N/A</v>
      </c>
      <c r="K355" s="6" t="e">
        <f>INDEX('[1]RTO Register'!N$2:N$698,MATCH($A355,'[1]RTO Register'!$AA$2:$AA$698,0))</f>
        <v>#N/A</v>
      </c>
      <c r="L355" s="6" t="e">
        <f>INDEX('[1]RTO Register'!O$2:O$698,MATCH($A355,'[1]RTO Register'!$AA$2:$AA$698,0))</f>
        <v>#N/A</v>
      </c>
      <c r="M355" s="6" t="e">
        <f>INDEX('[1]RTO Register'!P$2:P$698,MATCH($A355,'[1]RTO Register'!$AA$2:$AA$698,0))</f>
        <v>#N/A</v>
      </c>
      <c r="N355" s="6" t="e">
        <f>INDEX('[1]RTO Register'!Q$2:Q$698,MATCH($A355,'[1]RTO Register'!$AA$2:$AA$698,0))</f>
        <v>#N/A</v>
      </c>
      <c r="O355" s="6" t="e">
        <f>INDEX('[1]RTO Register'!R$2:R$698,MATCH($A355,'[1]RTO Register'!$AA$2:$AA$698,0))</f>
        <v>#N/A</v>
      </c>
      <c r="P355" s="6" t="e">
        <f>INDEX('[1]RTO Register'!S$2:S$698,MATCH($A355,'[1]RTO Register'!$AA$2:$AA$698,0))</f>
        <v>#N/A</v>
      </c>
      <c r="Q355" s="6" t="e">
        <f t="shared" si="11"/>
        <v>#N/A</v>
      </c>
    </row>
    <row r="356" spans="6:17" x14ac:dyDescent="0.25">
      <c r="F356" s="1" t="str">
        <f t="shared" si="10"/>
        <v/>
      </c>
      <c r="G356" s="1" t="str">
        <f>IFERROR(IF(INDEX('[1]RTO Register'!AP$2:AP$698,MATCH($A356,'[1]RTO Register'!$AA$2:$AA$698,0))="Yes","School",""),"")</f>
        <v/>
      </c>
      <c r="H356" s="6" t="e">
        <f>INDEX('[1]RTO Register'!K$2:K$698,MATCH($A356,'[1]RTO Register'!$AA$2:$AA$698,0))</f>
        <v>#N/A</v>
      </c>
      <c r="I356" s="6" t="e">
        <f>INDEX('[1]RTO Register'!L$2:L$698,MATCH($A356,'[1]RTO Register'!$AA$2:$AA$698,0))</f>
        <v>#N/A</v>
      </c>
      <c r="J356" s="6" t="e">
        <f>INDEX('[1]RTO Register'!M$2:M$698,MATCH($A356,'[1]RTO Register'!$AA$2:$AA$698,0))</f>
        <v>#N/A</v>
      </c>
      <c r="K356" s="6" t="e">
        <f>INDEX('[1]RTO Register'!N$2:N$698,MATCH($A356,'[1]RTO Register'!$AA$2:$AA$698,0))</f>
        <v>#N/A</v>
      </c>
      <c r="L356" s="6" t="e">
        <f>INDEX('[1]RTO Register'!O$2:O$698,MATCH($A356,'[1]RTO Register'!$AA$2:$AA$698,0))</f>
        <v>#N/A</v>
      </c>
      <c r="M356" s="6" t="e">
        <f>INDEX('[1]RTO Register'!P$2:P$698,MATCH($A356,'[1]RTO Register'!$AA$2:$AA$698,0))</f>
        <v>#N/A</v>
      </c>
      <c r="N356" s="6" t="e">
        <f>INDEX('[1]RTO Register'!Q$2:Q$698,MATCH($A356,'[1]RTO Register'!$AA$2:$AA$698,0))</f>
        <v>#N/A</v>
      </c>
      <c r="O356" s="6" t="e">
        <f>INDEX('[1]RTO Register'!R$2:R$698,MATCH($A356,'[1]RTO Register'!$AA$2:$AA$698,0))</f>
        <v>#N/A</v>
      </c>
      <c r="P356" s="6" t="e">
        <f>INDEX('[1]RTO Register'!S$2:S$698,MATCH($A356,'[1]RTO Register'!$AA$2:$AA$698,0))</f>
        <v>#N/A</v>
      </c>
      <c r="Q356" s="6" t="e">
        <f t="shared" si="11"/>
        <v>#N/A</v>
      </c>
    </row>
    <row r="357" spans="6:17" x14ac:dyDescent="0.25">
      <c r="F357" s="1" t="str">
        <f t="shared" si="10"/>
        <v/>
      </c>
      <c r="G357" s="1" t="str">
        <f>IFERROR(IF(INDEX('[1]RTO Register'!AP$2:AP$698,MATCH($A357,'[1]RTO Register'!$AA$2:$AA$698,0))="Yes","School",""),"")</f>
        <v/>
      </c>
      <c r="H357" s="6" t="e">
        <f>INDEX('[1]RTO Register'!K$2:K$698,MATCH($A357,'[1]RTO Register'!$AA$2:$AA$698,0))</f>
        <v>#N/A</v>
      </c>
      <c r="I357" s="6" t="e">
        <f>INDEX('[1]RTO Register'!L$2:L$698,MATCH($A357,'[1]RTO Register'!$AA$2:$AA$698,0))</f>
        <v>#N/A</v>
      </c>
      <c r="J357" s="6" t="e">
        <f>INDEX('[1]RTO Register'!M$2:M$698,MATCH($A357,'[1]RTO Register'!$AA$2:$AA$698,0))</f>
        <v>#N/A</v>
      </c>
      <c r="K357" s="6" t="e">
        <f>INDEX('[1]RTO Register'!N$2:N$698,MATCH($A357,'[1]RTO Register'!$AA$2:$AA$698,0))</f>
        <v>#N/A</v>
      </c>
      <c r="L357" s="6" t="e">
        <f>INDEX('[1]RTO Register'!O$2:O$698,MATCH($A357,'[1]RTO Register'!$AA$2:$AA$698,0))</f>
        <v>#N/A</v>
      </c>
      <c r="M357" s="6" t="e">
        <f>INDEX('[1]RTO Register'!P$2:P$698,MATCH($A357,'[1]RTO Register'!$AA$2:$AA$698,0))</f>
        <v>#N/A</v>
      </c>
      <c r="N357" s="6" t="e">
        <f>INDEX('[1]RTO Register'!Q$2:Q$698,MATCH($A357,'[1]RTO Register'!$AA$2:$AA$698,0))</f>
        <v>#N/A</v>
      </c>
      <c r="O357" s="6" t="e">
        <f>INDEX('[1]RTO Register'!R$2:R$698,MATCH($A357,'[1]RTO Register'!$AA$2:$AA$698,0))</f>
        <v>#N/A</v>
      </c>
      <c r="P357" s="6" t="e">
        <f>INDEX('[1]RTO Register'!S$2:S$698,MATCH($A357,'[1]RTO Register'!$AA$2:$AA$698,0))</f>
        <v>#N/A</v>
      </c>
      <c r="Q357" s="6" t="e">
        <f t="shared" si="11"/>
        <v>#N/A</v>
      </c>
    </row>
    <row r="358" spans="6:17" x14ac:dyDescent="0.25">
      <c r="F358" s="1" t="str">
        <f t="shared" si="10"/>
        <v/>
      </c>
      <c r="G358" s="1" t="str">
        <f>IFERROR(IF(INDEX('[1]RTO Register'!AP$2:AP$698,MATCH($A358,'[1]RTO Register'!$AA$2:$AA$698,0))="Yes","School",""),"")</f>
        <v/>
      </c>
      <c r="H358" s="6" t="e">
        <f>INDEX('[1]RTO Register'!K$2:K$698,MATCH($A358,'[1]RTO Register'!$AA$2:$AA$698,0))</f>
        <v>#N/A</v>
      </c>
      <c r="I358" s="6" t="e">
        <f>INDEX('[1]RTO Register'!L$2:L$698,MATCH($A358,'[1]RTO Register'!$AA$2:$AA$698,0))</f>
        <v>#N/A</v>
      </c>
      <c r="J358" s="6" t="e">
        <f>INDEX('[1]RTO Register'!M$2:M$698,MATCH($A358,'[1]RTO Register'!$AA$2:$AA$698,0))</f>
        <v>#N/A</v>
      </c>
      <c r="K358" s="6" t="e">
        <f>INDEX('[1]RTO Register'!N$2:N$698,MATCH($A358,'[1]RTO Register'!$AA$2:$AA$698,0))</f>
        <v>#N/A</v>
      </c>
      <c r="L358" s="6" t="e">
        <f>INDEX('[1]RTO Register'!O$2:O$698,MATCH($A358,'[1]RTO Register'!$AA$2:$AA$698,0))</f>
        <v>#N/A</v>
      </c>
      <c r="M358" s="6" t="e">
        <f>INDEX('[1]RTO Register'!P$2:P$698,MATCH($A358,'[1]RTO Register'!$AA$2:$AA$698,0))</f>
        <v>#N/A</v>
      </c>
      <c r="N358" s="6" t="e">
        <f>INDEX('[1]RTO Register'!Q$2:Q$698,MATCH($A358,'[1]RTO Register'!$AA$2:$AA$698,0))</f>
        <v>#N/A</v>
      </c>
      <c r="O358" s="6" t="e">
        <f>INDEX('[1]RTO Register'!R$2:R$698,MATCH($A358,'[1]RTO Register'!$AA$2:$AA$698,0))</f>
        <v>#N/A</v>
      </c>
      <c r="P358" s="6" t="e">
        <f>INDEX('[1]RTO Register'!S$2:S$698,MATCH($A358,'[1]RTO Register'!$AA$2:$AA$698,0))</f>
        <v>#N/A</v>
      </c>
      <c r="Q358" s="6" t="e">
        <f t="shared" si="11"/>
        <v>#N/A</v>
      </c>
    </row>
    <row r="359" spans="6:17" x14ac:dyDescent="0.25">
      <c r="F359" s="1" t="str">
        <f t="shared" si="10"/>
        <v/>
      </c>
      <c r="G359" s="1" t="str">
        <f>IFERROR(IF(INDEX('[1]RTO Register'!AP$2:AP$698,MATCH($A359,'[1]RTO Register'!$AA$2:$AA$698,0))="Yes","School",""),"")</f>
        <v/>
      </c>
      <c r="H359" s="6" t="e">
        <f>INDEX('[1]RTO Register'!K$2:K$698,MATCH($A359,'[1]RTO Register'!$AA$2:$AA$698,0))</f>
        <v>#N/A</v>
      </c>
      <c r="I359" s="6" t="e">
        <f>INDEX('[1]RTO Register'!L$2:L$698,MATCH($A359,'[1]RTO Register'!$AA$2:$AA$698,0))</f>
        <v>#N/A</v>
      </c>
      <c r="J359" s="6" t="e">
        <f>INDEX('[1]RTO Register'!M$2:M$698,MATCH($A359,'[1]RTO Register'!$AA$2:$AA$698,0))</f>
        <v>#N/A</v>
      </c>
      <c r="K359" s="6" t="e">
        <f>INDEX('[1]RTO Register'!N$2:N$698,MATCH($A359,'[1]RTO Register'!$AA$2:$AA$698,0))</f>
        <v>#N/A</v>
      </c>
      <c r="L359" s="6" t="e">
        <f>INDEX('[1]RTO Register'!O$2:O$698,MATCH($A359,'[1]RTO Register'!$AA$2:$AA$698,0))</f>
        <v>#N/A</v>
      </c>
      <c r="M359" s="6" t="e">
        <f>INDEX('[1]RTO Register'!P$2:P$698,MATCH($A359,'[1]RTO Register'!$AA$2:$AA$698,0))</f>
        <v>#N/A</v>
      </c>
      <c r="N359" s="6" t="e">
        <f>INDEX('[1]RTO Register'!Q$2:Q$698,MATCH($A359,'[1]RTO Register'!$AA$2:$AA$698,0))</f>
        <v>#N/A</v>
      </c>
      <c r="O359" s="6" t="e">
        <f>INDEX('[1]RTO Register'!R$2:R$698,MATCH($A359,'[1]RTO Register'!$AA$2:$AA$698,0))</f>
        <v>#N/A</v>
      </c>
      <c r="P359" s="6" t="e">
        <f>INDEX('[1]RTO Register'!S$2:S$698,MATCH($A359,'[1]RTO Register'!$AA$2:$AA$698,0))</f>
        <v>#N/A</v>
      </c>
      <c r="Q359" s="6" t="e">
        <f t="shared" si="11"/>
        <v>#N/A</v>
      </c>
    </row>
    <row r="360" spans="6:17" x14ac:dyDescent="0.25">
      <c r="F360" s="1" t="str">
        <f t="shared" si="10"/>
        <v/>
      </c>
      <c r="G360" s="1" t="str">
        <f>IFERROR(IF(INDEX('[1]RTO Register'!AP$2:AP$698,MATCH($A360,'[1]RTO Register'!$AA$2:$AA$698,0))="Yes","School",""),"")</f>
        <v/>
      </c>
      <c r="H360" s="6" t="e">
        <f>INDEX('[1]RTO Register'!K$2:K$698,MATCH($A360,'[1]RTO Register'!$AA$2:$AA$698,0))</f>
        <v>#N/A</v>
      </c>
      <c r="I360" s="6" t="e">
        <f>INDEX('[1]RTO Register'!L$2:L$698,MATCH($A360,'[1]RTO Register'!$AA$2:$AA$698,0))</f>
        <v>#N/A</v>
      </c>
      <c r="J360" s="6" t="e">
        <f>INDEX('[1]RTO Register'!M$2:M$698,MATCH($A360,'[1]RTO Register'!$AA$2:$AA$698,0))</f>
        <v>#N/A</v>
      </c>
      <c r="K360" s="6" t="e">
        <f>INDEX('[1]RTO Register'!N$2:N$698,MATCH($A360,'[1]RTO Register'!$AA$2:$AA$698,0))</f>
        <v>#N/A</v>
      </c>
      <c r="L360" s="6" t="e">
        <f>INDEX('[1]RTO Register'!O$2:O$698,MATCH($A360,'[1]RTO Register'!$AA$2:$AA$698,0))</f>
        <v>#N/A</v>
      </c>
      <c r="M360" s="6" t="e">
        <f>INDEX('[1]RTO Register'!P$2:P$698,MATCH($A360,'[1]RTO Register'!$AA$2:$AA$698,0))</f>
        <v>#N/A</v>
      </c>
      <c r="N360" s="6" t="e">
        <f>INDEX('[1]RTO Register'!Q$2:Q$698,MATCH($A360,'[1]RTO Register'!$AA$2:$AA$698,0))</f>
        <v>#N/A</v>
      </c>
      <c r="O360" s="6" t="e">
        <f>INDEX('[1]RTO Register'!R$2:R$698,MATCH($A360,'[1]RTO Register'!$AA$2:$AA$698,0))</f>
        <v>#N/A</v>
      </c>
      <c r="P360" s="6" t="e">
        <f>INDEX('[1]RTO Register'!S$2:S$698,MATCH($A360,'[1]RTO Register'!$AA$2:$AA$698,0))</f>
        <v>#N/A</v>
      </c>
      <c r="Q360" s="6" t="e">
        <f t="shared" si="11"/>
        <v>#N/A</v>
      </c>
    </row>
    <row r="361" spans="6:17" x14ac:dyDescent="0.25">
      <c r="F361" s="1" t="str">
        <f t="shared" si="10"/>
        <v/>
      </c>
      <c r="G361" s="1" t="str">
        <f>IFERROR(IF(INDEX('[1]RTO Register'!AP$2:AP$698,MATCH($A361,'[1]RTO Register'!$AA$2:$AA$698,0))="Yes","School",""),"")</f>
        <v/>
      </c>
      <c r="H361" s="6" t="e">
        <f>INDEX('[1]RTO Register'!K$2:K$698,MATCH($A361,'[1]RTO Register'!$AA$2:$AA$698,0))</f>
        <v>#N/A</v>
      </c>
      <c r="I361" s="6" t="e">
        <f>INDEX('[1]RTO Register'!L$2:L$698,MATCH($A361,'[1]RTO Register'!$AA$2:$AA$698,0))</f>
        <v>#N/A</v>
      </c>
      <c r="J361" s="6" t="e">
        <f>INDEX('[1]RTO Register'!M$2:M$698,MATCH($A361,'[1]RTO Register'!$AA$2:$AA$698,0))</f>
        <v>#N/A</v>
      </c>
      <c r="K361" s="6" t="e">
        <f>INDEX('[1]RTO Register'!N$2:N$698,MATCH($A361,'[1]RTO Register'!$AA$2:$AA$698,0))</f>
        <v>#N/A</v>
      </c>
      <c r="L361" s="6" t="e">
        <f>INDEX('[1]RTO Register'!O$2:O$698,MATCH($A361,'[1]RTO Register'!$AA$2:$AA$698,0))</f>
        <v>#N/A</v>
      </c>
      <c r="M361" s="6" t="e">
        <f>INDEX('[1]RTO Register'!P$2:P$698,MATCH($A361,'[1]RTO Register'!$AA$2:$AA$698,0))</f>
        <v>#N/A</v>
      </c>
      <c r="N361" s="6" t="e">
        <f>INDEX('[1]RTO Register'!Q$2:Q$698,MATCH($A361,'[1]RTO Register'!$AA$2:$AA$698,0))</f>
        <v>#N/A</v>
      </c>
      <c r="O361" s="6" t="e">
        <f>INDEX('[1]RTO Register'!R$2:R$698,MATCH($A361,'[1]RTO Register'!$AA$2:$AA$698,0))</f>
        <v>#N/A</v>
      </c>
      <c r="P361" s="6" t="e">
        <f>INDEX('[1]RTO Register'!S$2:S$698,MATCH($A361,'[1]RTO Register'!$AA$2:$AA$698,0))</f>
        <v>#N/A</v>
      </c>
      <c r="Q361" s="6" t="e">
        <f t="shared" si="11"/>
        <v>#N/A</v>
      </c>
    </row>
    <row r="362" spans="6:17" x14ac:dyDescent="0.25">
      <c r="F362" s="1" t="str">
        <f t="shared" si="10"/>
        <v/>
      </c>
      <c r="G362" s="1" t="str">
        <f>IFERROR(IF(INDEX('[1]RTO Register'!AP$2:AP$698,MATCH($A362,'[1]RTO Register'!$AA$2:$AA$698,0))="Yes","School",""),"")</f>
        <v/>
      </c>
      <c r="H362" s="6" t="e">
        <f>INDEX('[1]RTO Register'!K$2:K$698,MATCH($A362,'[1]RTO Register'!$AA$2:$AA$698,0))</f>
        <v>#N/A</v>
      </c>
      <c r="I362" s="6" t="e">
        <f>INDEX('[1]RTO Register'!L$2:L$698,MATCH($A362,'[1]RTO Register'!$AA$2:$AA$698,0))</f>
        <v>#N/A</v>
      </c>
      <c r="J362" s="6" t="e">
        <f>INDEX('[1]RTO Register'!M$2:M$698,MATCH($A362,'[1]RTO Register'!$AA$2:$AA$698,0))</f>
        <v>#N/A</v>
      </c>
      <c r="K362" s="6" t="e">
        <f>INDEX('[1]RTO Register'!N$2:N$698,MATCH($A362,'[1]RTO Register'!$AA$2:$AA$698,0))</f>
        <v>#N/A</v>
      </c>
      <c r="L362" s="6" t="e">
        <f>INDEX('[1]RTO Register'!O$2:O$698,MATCH($A362,'[1]RTO Register'!$AA$2:$AA$698,0))</f>
        <v>#N/A</v>
      </c>
      <c r="M362" s="6" t="e">
        <f>INDEX('[1]RTO Register'!P$2:P$698,MATCH($A362,'[1]RTO Register'!$AA$2:$AA$698,0))</f>
        <v>#N/A</v>
      </c>
      <c r="N362" s="6" t="e">
        <f>INDEX('[1]RTO Register'!Q$2:Q$698,MATCH($A362,'[1]RTO Register'!$AA$2:$AA$698,0))</f>
        <v>#N/A</v>
      </c>
      <c r="O362" s="6" t="e">
        <f>INDEX('[1]RTO Register'!R$2:R$698,MATCH($A362,'[1]RTO Register'!$AA$2:$AA$698,0))</f>
        <v>#N/A</v>
      </c>
      <c r="P362" s="6" t="e">
        <f>INDEX('[1]RTO Register'!S$2:S$698,MATCH($A362,'[1]RTO Register'!$AA$2:$AA$698,0))</f>
        <v>#N/A</v>
      </c>
      <c r="Q362" s="6" t="e">
        <f t="shared" si="11"/>
        <v>#N/A</v>
      </c>
    </row>
    <row r="363" spans="6:17" x14ac:dyDescent="0.25">
      <c r="F363" s="1" t="str">
        <f t="shared" si="10"/>
        <v/>
      </c>
      <c r="G363" s="1" t="str">
        <f>IFERROR(IF(INDEX('[1]RTO Register'!AP$2:AP$698,MATCH($A363,'[1]RTO Register'!$AA$2:$AA$698,0))="Yes","School",""),"")</f>
        <v/>
      </c>
      <c r="H363" s="6" t="e">
        <f>INDEX('[1]RTO Register'!K$2:K$698,MATCH($A363,'[1]RTO Register'!$AA$2:$AA$698,0))</f>
        <v>#N/A</v>
      </c>
      <c r="I363" s="6" t="e">
        <f>INDEX('[1]RTO Register'!L$2:L$698,MATCH($A363,'[1]RTO Register'!$AA$2:$AA$698,0))</f>
        <v>#N/A</v>
      </c>
      <c r="J363" s="6" t="e">
        <f>INDEX('[1]RTO Register'!M$2:M$698,MATCH($A363,'[1]RTO Register'!$AA$2:$AA$698,0))</f>
        <v>#N/A</v>
      </c>
      <c r="K363" s="6" t="e">
        <f>INDEX('[1]RTO Register'!N$2:N$698,MATCH($A363,'[1]RTO Register'!$AA$2:$AA$698,0))</f>
        <v>#N/A</v>
      </c>
      <c r="L363" s="6" t="e">
        <f>INDEX('[1]RTO Register'!O$2:O$698,MATCH($A363,'[1]RTO Register'!$AA$2:$AA$698,0))</f>
        <v>#N/A</v>
      </c>
      <c r="M363" s="6" t="e">
        <f>INDEX('[1]RTO Register'!P$2:P$698,MATCH($A363,'[1]RTO Register'!$AA$2:$AA$698,0))</f>
        <v>#N/A</v>
      </c>
      <c r="N363" s="6" t="e">
        <f>INDEX('[1]RTO Register'!Q$2:Q$698,MATCH($A363,'[1]RTO Register'!$AA$2:$AA$698,0))</f>
        <v>#N/A</v>
      </c>
      <c r="O363" s="6" t="e">
        <f>INDEX('[1]RTO Register'!R$2:R$698,MATCH($A363,'[1]RTO Register'!$AA$2:$AA$698,0))</f>
        <v>#N/A</v>
      </c>
      <c r="P363" s="6" t="e">
        <f>INDEX('[1]RTO Register'!S$2:S$698,MATCH($A363,'[1]RTO Register'!$AA$2:$AA$698,0))</f>
        <v>#N/A</v>
      </c>
      <c r="Q363" s="6" t="e">
        <f t="shared" si="11"/>
        <v>#N/A</v>
      </c>
    </row>
    <row r="364" spans="6:17" x14ac:dyDescent="0.25">
      <c r="F364" s="1" t="str">
        <f t="shared" si="10"/>
        <v/>
      </c>
      <c r="G364" s="1" t="str">
        <f>IFERROR(IF(INDEX('[1]RTO Register'!AP$2:AP$698,MATCH($A364,'[1]RTO Register'!$AA$2:$AA$698,0))="Yes","School",""),"")</f>
        <v/>
      </c>
      <c r="H364" s="6" t="e">
        <f>INDEX('[1]RTO Register'!K$2:K$698,MATCH($A364,'[1]RTO Register'!$AA$2:$AA$698,0))</f>
        <v>#N/A</v>
      </c>
      <c r="I364" s="6" t="e">
        <f>INDEX('[1]RTO Register'!L$2:L$698,MATCH($A364,'[1]RTO Register'!$AA$2:$AA$698,0))</f>
        <v>#N/A</v>
      </c>
      <c r="J364" s="6" t="e">
        <f>INDEX('[1]RTO Register'!M$2:M$698,MATCH($A364,'[1]RTO Register'!$AA$2:$AA$698,0))</f>
        <v>#N/A</v>
      </c>
      <c r="K364" s="6" t="e">
        <f>INDEX('[1]RTO Register'!N$2:N$698,MATCH($A364,'[1]RTO Register'!$AA$2:$AA$698,0))</f>
        <v>#N/A</v>
      </c>
      <c r="L364" s="6" t="e">
        <f>INDEX('[1]RTO Register'!O$2:O$698,MATCH($A364,'[1]RTO Register'!$AA$2:$AA$698,0))</f>
        <v>#N/A</v>
      </c>
      <c r="M364" s="6" t="e">
        <f>INDEX('[1]RTO Register'!P$2:P$698,MATCH($A364,'[1]RTO Register'!$AA$2:$AA$698,0))</f>
        <v>#N/A</v>
      </c>
      <c r="N364" s="6" t="e">
        <f>INDEX('[1]RTO Register'!Q$2:Q$698,MATCH($A364,'[1]RTO Register'!$AA$2:$AA$698,0))</f>
        <v>#N/A</v>
      </c>
      <c r="O364" s="6" t="e">
        <f>INDEX('[1]RTO Register'!R$2:R$698,MATCH($A364,'[1]RTO Register'!$AA$2:$AA$698,0))</f>
        <v>#N/A</v>
      </c>
      <c r="P364" s="6" t="e">
        <f>INDEX('[1]RTO Register'!S$2:S$698,MATCH($A364,'[1]RTO Register'!$AA$2:$AA$698,0))</f>
        <v>#N/A</v>
      </c>
      <c r="Q364" s="6" t="e">
        <f t="shared" si="11"/>
        <v>#N/A</v>
      </c>
    </row>
    <row r="365" spans="6:17" x14ac:dyDescent="0.25">
      <c r="F365" s="1" t="str">
        <f t="shared" si="10"/>
        <v/>
      </c>
      <c r="G365" s="1" t="str">
        <f>IFERROR(IF(INDEX('[1]RTO Register'!AP$2:AP$698,MATCH($A365,'[1]RTO Register'!$AA$2:$AA$698,0))="Yes","School",""),"")</f>
        <v/>
      </c>
      <c r="H365" s="6" t="e">
        <f>INDEX('[1]RTO Register'!K$2:K$698,MATCH($A365,'[1]RTO Register'!$AA$2:$AA$698,0))</f>
        <v>#N/A</v>
      </c>
      <c r="I365" s="6" t="e">
        <f>INDEX('[1]RTO Register'!L$2:L$698,MATCH($A365,'[1]RTO Register'!$AA$2:$AA$698,0))</f>
        <v>#N/A</v>
      </c>
      <c r="J365" s="6" t="e">
        <f>INDEX('[1]RTO Register'!M$2:M$698,MATCH($A365,'[1]RTO Register'!$AA$2:$AA$698,0))</f>
        <v>#N/A</v>
      </c>
      <c r="K365" s="6" t="e">
        <f>INDEX('[1]RTO Register'!N$2:N$698,MATCH($A365,'[1]RTO Register'!$AA$2:$AA$698,0))</f>
        <v>#N/A</v>
      </c>
      <c r="L365" s="6" t="e">
        <f>INDEX('[1]RTO Register'!O$2:O$698,MATCH($A365,'[1]RTO Register'!$AA$2:$AA$698,0))</f>
        <v>#N/A</v>
      </c>
      <c r="M365" s="6" t="e">
        <f>INDEX('[1]RTO Register'!P$2:P$698,MATCH($A365,'[1]RTO Register'!$AA$2:$AA$698,0))</f>
        <v>#N/A</v>
      </c>
      <c r="N365" s="6" t="e">
        <f>INDEX('[1]RTO Register'!Q$2:Q$698,MATCH($A365,'[1]RTO Register'!$AA$2:$AA$698,0))</f>
        <v>#N/A</v>
      </c>
      <c r="O365" s="6" t="e">
        <f>INDEX('[1]RTO Register'!R$2:R$698,MATCH($A365,'[1]RTO Register'!$AA$2:$AA$698,0))</f>
        <v>#N/A</v>
      </c>
      <c r="P365" s="6" t="e">
        <f>INDEX('[1]RTO Register'!S$2:S$698,MATCH($A365,'[1]RTO Register'!$AA$2:$AA$698,0))</f>
        <v>#N/A</v>
      </c>
      <c r="Q365" s="6" t="e">
        <f t="shared" si="11"/>
        <v>#N/A</v>
      </c>
    </row>
    <row r="366" spans="6:17" x14ac:dyDescent="0.25">
      <c r="F366" s="1" t="str">
        <f t="shared" si="10"/>
        <v/>
      </c>
      <c r="G366" s="1" t="str">
        <f>IFERROR(IF(INDEX('[1]RTO Register'!AP$2:AP$698,MATCH($A366,'[1]RTO Register'!$AA$2:$AA$698,0))="Yes","School",""),"")</f>
        <v/>
      </c>
      <c r="H366" s="6" t="e">
        <f>INDEX('[1]RTO Register'!K$2:K$698,MATCH($A366,'[1]RTO Register'!$AA$2:$AA$698,0))</f>
        <v>#N/A</v>
      </c>
      <c r="I366" s="6" t="e">
        <f>INDEX('[1]RTO Register'!L$2:L$698,MATCH($A366,'[1]RTO Register'!$AA$2:$AA$698,0))</f>
        <v>#N/A</v>
      </c>
      <c r="J366" s="6" t="e">
        <f>INDEX('[1]RTO Register'!M$2:M$698,MATCH($A366,'[1]RTO Register'!$AA$2:$AA$698,0))</f>
        <v>#N/A</v>
      </c>
      <c r="K366" s="6" t="e">
        <f>INDEX('[1]RTO Register'!N$2:N$698,MATCH($A366,'[1]RTO Register'!$AA$2:$AA$698,0))</f>
        <v>#N/A</v>
      </c>
      <c r="L366" s="6" t="e">
        <f>INDEX('[1]RTO Register'!O$2:O$698,MATCH($A366,'[1]RTO Register'!$AA$2:$AA$698,0))</f>
        <v>#N/A</v>
      </c>
      <c r="M366" s="6" t="e">
        <f>INDEX('[1]RTO Register'!P$2:P$698,MATCH($A366,'[1]RTO Register'!$AA$2:$AA$698,0))</f>
        <v>#N/A</v>
      </c>
      <c r="N366" s="6" t="e">
        <f>INDEX('[1]RTO Register'!Q$2:Q$698,MATCH($A366,'[1]RTO Register'!$AA$2:$AA$698,0))</f>
        <v>#N/A</v>
      </c>
      <c r="O366" s="6" t="e">
        <f>INDEX('[1]RTO Register'!R$2:R$698,MATCH($A366,'[1]RTO Register'!$AA$2:$AA$698,0))</f>
        <v>#N/A</v>
      </c>
      <c r="P366" s="6" t="e">
        <f>INDEX('[1]RTO Register'!S$2:S$698,MATCH($A366,'[1]RTO Register'!$AA$2:$AA$698,0))</f>
        <v>#N/A</v>
      </c>
      <c r="Q366" s="6" t="e">
        <f t="shared" si="11"/>
        <v>#N/A</v>
      </c>
    </row>
    <row r="367" spans="6:17" x14ac:dyDescent="0.25">
      <c r="F367" s="1" t="str">
        <f t="shared" si="10"/>
        <v/>
      </c>
      <c r="G367" s="1" t="str">
        <f>IFERROR(IF(INDEX('[1]RTO Register'!AP$2:AP$698,MATCH($A367,'[1]RTO Register'!$AA$2:$AA$698,0))="Yes","School",""),"")</f>
        <v/>
      </c>
      <c r="H367" s="6" t="e">
        <f>INDEX('[1]RTO Register'!K$2:K$698,MATCH($A367,'[1]RTO Register'!$AA$2:$AA$698,0))</f>
        <v>#N/A</v>
      </c>
      <c r="I367" s="6" t="e">
        <f>INDEX('[1]RTO Register'!L$2:L$698,MATCH($A367,'[1]RTO Register'!$AA$2:$AA$698,0))</f>
        <v>#N/A</v>
      </c>
      <c r="J367" s="6" t="e">
        <f>INDEX('[1]RTO Register'!M$2:M$698,MATCH($A367,'[1]RTO Register'!$AA$2:$AA$698,0))</f>
        <v>#N/A</v>
      </c>
      <c r="K367" s="6" t="e">
        <f>INDEX('[1]RTO Register'!N$2:N$698,MATCH($A367,'[1]RTO Register'!$AA$2:$AA$698,0))</f>
        <v>#N/A</v>
      </c>
      <c r="L367" s="6" t="e">
        <f>INDEX('[1]RTO Register'!O$2:O$698,MATCH($A367,'[1]RTO Register'!$AA$2:$AA$698,0))</f>
        <v>#N/A</v>
      </c>
      <c r="M367" s="6" t="e">
        <f>INDEX('[1]RTO Register'!P$2:P$698,MATCH($A367,'[1]RTO Register'!$AA$2:$AA$698,0))</f>
        <v>#N/A</v>
      </c>
      <c r="N367" s="6" t="e">
        <f>INDEX('[1]RTO Register'!Q$2:Q$698,MATCH($A367,'[1]RTO Register'!$AA$2:$AA$698,0))</f>
        <v>#N/A</v>
      </c>
      <c r="O367" s="6" t="e">
        <f>INDEX('[1]RTO Register'!R$2:R$698,MATCH($A367,'[1]RTO Register'!$AA$2:$AA$698,0))</f>
        <v>#N/A</v>
      </c>
      <c r="P367" s="6" t="e">
        <f>INDEX('[1]RTO Register'!S$2:S$698,MATCH($A367,'[1]RTO Register'!$AA$2:$AA$698,0))</f>
        <v>#N/A</v>
      </c>
      <c r="Q367" s="6" t="e">
        <f t="shared" si="11"/>
        <v>#N/A</v>
      </c>
    </row>
    <row r="368" spans="6:17" x14ac:dyDescent="0.25">
      <c r="F368" s="1" t="str">
        <f t="shared" si="10"/>
        <v/>
      </c>
      <c r="G368" s="1" t="str">
        <f>IFERROR(IF(INDEX('[1]RTO Register'!AP$2:AP$698,MATCH($A368,'[1]RTO Register'!$AA$2:$AA$698,0))="Yes","School",""),"")</f>
        <v/>
      </c>
      <c r="H368" s="6" t="e">
        <f>INDEX('[1]RTO Register'!K$2:K$698,MATCH($A368,'[1]RTO Register'!$AA$2:$AA$698,0))</f>
        <v>#N/A</v>
      </c>
      <c r="I368" s="6" t="e">
        <f>INDEX('[1]RTO Register'!L$2:L$698,MATCH($A368,'[1]RTO Register'!$AA$2:$AA$698,0))</f>
        <v>#N/A</v>
      </c>
      <c r="J368" s="6" t="e">
        <f>INDEX('[1]RTO Register'!M$2:M$698,MATCH($A368,'[1]RTO Register'!$AA$2:$AA$698,0))</f>
        <v>#N/A</v>
      </c>
      <c r="K368" s="6" t="e">
        <f>INDEX('[1]RTO Register'!N$2:N$698,MATCH($A368,'[1]RTO Register'!$AA$2:$AA$698,0))</f>
        <v>#N/A</v>
      </c>
      <c r="L368" s="6" t="e">
        <f>INDEX('[1]RTO Register'!O$2:O$698,MATCH($A368,'[1]RTO Register'!$AA$2:$AA$698,0))</f>
        <v>#N/A</v>
      </c>
      <c r="M368" s="6" t="e">
        <f>INDEX('[1]RTO Register'!P$2:P$698,MATCH($A368,'[1]RTO Register'!$AA$2:$AA$698,0))</f>
        <v>#N/A</v>
      </c>
      <c r="N368" s="6" t="e">
        <f>INDEX('[1]RTO Register'!Q$2:Q$698,MATCH($A368,'[1]RTO Register'!$AA$2:$AA$698,0))</f>
        <v>#N/A</v>
      </c>
      <c r="O368" s="6" t="e">
        <f>INDEX('[1]RTO Register'!R$2:R$698,MATCH($A368,'[1]RTO Register'!$AA$2:$AA$698,0))</f>
        <v>#N/A</v>
      </c>
      <c r="P368" s="6" t="e">
        <f>INDEX('[1]RTO Register'!S$2:S$698,MATCH($A368,'[1]RTO Register'!$AA$2:$AA$698,0))</f>
        <v>#N/A</v>
      </c>
      <c r="Q368" s="6" t="e">
        <f t="shared" si="11"/>
        <v>#N/A</v>
      </c>
    </row>
    <row r="369" spans="6:17" x14ac:dyDescent="0.25">
      <c r="F369" s="1" t="str">
        <f t="shared" si="10"/>
        <v/>
      </c>
      <c r="G369" s="1" t="str">
        <f>IFERROR(IF(INDEX('[1]RTO Register'!AP$2:AP$698,MATCH($A369,'[1]RTO Register'!$AA$2:$AA$698,0))="Yes","School",""),"")</f>
        <v/>
      </c>
      <c r="H369" s="6" t="e">
        <f>INDEX('[1]RTO Register'!K$2:K$698,MATCH($A369,'[1]RTO Register'!$AA$2:$AA$698,0))</f>
        <v>#N/A</v>
      </c>
      <c r="I369" s="6" t="e">
        <f>INDEX('[1]RTO Register'!L$2:L$698,MATCH($A369,'[1]RTO Register'!$AA$2:$AA$698,0))</f>
        <v>#N/A</v>
      </c>
      <c r="J369" s="6" t="e">
        <f>INDEX('[1]RTO Register'!M$2:M$698,MATCH($A369,'[1]RTO Register'!$AA$2:$AA$698,0))</f>
        <v>#N/A</v>
      </c>
      <c r="K369" s="6" t="e">
        <f>INDEX('[1]RTO Register'!N$2:N$698,MATCH($A369,'[1]RTO Register'!$AA$2:$AA$698,0))</f>
        <v>#N/A</v>
      </c>
      <c r="L369" s="6" t="e">
        <f>INDEX('[1]RTO Register'!O$2:O$698,MATCH($A369,'[1]RTO Register'!$AA$2:$AA$698,0))</f>
        <v>#N/A</v>
      </c>
      <c r="M369" s="6" t="e">
        <f>INDEX('[1]RTO Register'!P$2:P$698,MATCH($A369,'[1]RTO Register'!$AA$2:$AA$698,0))</f>
        <v>#N/A</v>
      </c>
      <c r="N369" s="6" t="e">
        <f>INDEX('[1]RTO Register'!Q$2:Q$698,MATCH($A369,'[1]RTO Register'!$AA$2:$AA$698,0))</f>
        <v>#N/A</v>
      </c>
      <c r="O369" s="6" t="e">
        <f>INDEX('[1]RTO Register'!R$2:R$698,MATCH($A369,'[1]RTO Register'!$AA$2:$AA$698,0))</f>
        <v>#N/A</v>
      </c>
      <c r="P369" s="6" t="e">
        <f>INDEX('[1]RTO Register'!S$2:S$698,MATCH($A369,'[1]RTO Register'!$AA$2:$AA$698,0))</f>
        <v>#N/A</v>
      </c>
      <c r="Q369" s="6" t="e">
        <f t="shared" si="11"/>
        <v>#N/A</v>
      </c>
    </row>
    <row r="370" spans="6:17" x14ac:dyDescent="0.25">
      <c r="F370" s="1" t="str">
        <f t="shared" si="10"/>
        <v/>
      </c>
      <c r="G370" s="1" t="str">
        <f>IFERROR(IF(INDEX('[1]RTO Register'!AP$2:AP$698,MATCH($A370,'[1]RTO Register'!$AA$2:$AA$698,0))="Yes","School",""),"")</f>
        <v/>
      </c>
      <c r="H370" s="6" t="e">
        <f>INDEX('[1]RTO Register'!K$2:K$698,MATCH($A370,'[1]RTO Register'!$AA$2:$AA$698,0))</f>
        <v>#N/A</v>
      </c>
      <c r="I370" s="6" t="e">
        <f>INDEX('[1]RTO Register'!L$2:L$698,MATCH($A370,'[1]RTO Register'!$AA$2:$AA$698,0))</f>
        <v>#N/A</v>
      </c>
      <c r="J370" s="6" t="e">
        <f>INDEX('[1]RTO Register'!M$2:M$698,MATCH($A370,'[1]RTO Register'!$AA$2:$AA$698,0))</f>
        <v>#N/A</v>
      </c>
      <c r="K370" s="6" t="e">
        <f>INDEX('[1]RTO Register'!N$2:N$698,MATCH($A370,'[1]RTO Register'!$AA$2:$AA$698,0))</f>
        <v>#N/A</v>
      </c>
      <c r="L370" s="6" t="e">
        <f>INDEX('[1]RTO Register'!O$2:O$698,MATCH($A370,'[1]RTO Register'!$AA$2:$AA$698,0))</f>
        <v>#N/A</v>
      </c>
      <c r="M370" s="6" t="e">
        <f>INDEX('[1]RTO Register'!P$2:P$698,MATCH($A370,'[1]RTO Register'!$AA$2:$AA$698,0))</f>
        <v>#N/A</v>
      </c>
      <c r="N370" s="6" t="e">
        <f>INDEX('[1]RTO Register'!Q$2:Q$698,MATCH($A370,'[1]RTO Register'!$AA$2:$AA$698,0))</f>
        <v>#N/A</v>
      </c>
      <c r="O370" s="6" t="e">
        <f>INDEX('[1]RTO Register'!R$2:R$698,MATCH($A370,'[1]RTO Register'!$AA$2:$AA$698,0))</f>
        <v>#N/A</v>
      </c>
      <c r="P370" s="6" t="e">
        <f>INDEX('[1]RTO Register'!S$2:S$698,MATCH($A370,'[1]RTO Register'!$AA$2:$AA$698,0))</f>
        <v>#N/A</v>
      </c>
      <c r="Q370" s="6" t="e">
        <f t="shared" si="11"/>
        <v>#N/A</v>
      </c>
    </row>
    <row r="371" spans="6:17" x14ac:dyDescent="0.25">
      <c r="F371" s="1" t="str">
        <f t="shared" si="10"/>
        <v/>
      </c>
      <c r="G371" s="1" t="str">
        <f>IFERROR(IF(INDEX('[1]RTO Register'!AP$2:AP$698,MATCH($A371,'[1]RTO Register'!$AA$2:$AA$698,0))="Yes","School",""),"")</f>
        <v/>
      </c>
      <c r="H371" s="6" t="e">
        <f>INDEX('[1]RTO Register'!K$2:K$698,MATCH($A371,'[1]RTO Register'!$AA$2:$AA$698,0))</f>
        <v>#N/A</v>
      </c>
      <c r="I371" s="6" t="e">
        <f>INDEX('[1]RTO Register'!L$2:L$698,MATCH($A371,'[1]RTO Register'!$AA$2:$AA$698,0))</f>
        <v>#N/A</v>
      </c>
      <c r="J371" s="6" t="e">
        <f>INDEX('[1]RTO Register'!M$2:M$698,MATCH($A371,'[1]RTO Register'!$AA$2:$AA$698,0))</f>
        <v>#N/A</v>
      </c>
      <c r="K371" s="6" t="e">
        <f>INDEX('[1]RTO Register'!N$2:N$698,MATCH($A371,'[1]RTO Register'!$AA$2:$AA$698,0))</f>
        <v>#N/A</v>
      </c>
      <c r="L371" s="6" t="e">
        <f>INDEX('[1]RTO Register'!O$2:O$698,MATCH($A371,'[1]RTO Register'!$AA$2:$AA$698,0))</f>
        <v>#N/A</v>
      </c>
      <c r="M371" s="6" t="e">
        <f>INDEX('[1]RTO Register'!P$2:P$698,MATCH($A371,'[1]RTO Register'!$AA$2:$AA$698,0))</f>
        <v>#N/A</v>
      </c>
      <c r="N371" s="6" t="e">
        <f>INDEX('[1]RTO Register'!Q$2:Q$698,MATCH($A371,'[1]RTO Register'!$AA$2:$AA$698,0))</f>
        <v>#N/A</v>
      </c>
      <c r="O371" s="6" t="e">
        <f>INDEX('[1]RTO Register'!R$2:R$698,MATCH($A371,'[1]RTO Register'!$AA$2:$AA$698,0))</f>
        <v>#N/A</v>
      </c>
      <c r="P371" s="6" t="e">
        <f>INDEX('[1]RTO Register'!S$2:S$698,MATCH($A371,'[1]RTO Register'!$AA$2:$AA$698,0))</f>
        <v>#N/A</v>
      </c>
      <c r="Q371" s="6" t="e">
        <f t="shared" si="11"/>
        <v>#N/A</v>
      </c>
    </row>
    <row r="372" spans="6:17" x14ac:dyDescent="0.25">
      <c r="F372" s="1" t="str">
        <f t="shared" si="10"/>
        <v/>
      </c>
      <c r="G372" s="1" t="str">
        <f>IFERROR(IF(INDEX('[1]RTO Register'!AP$2:AP$698,MATCH($A372,'[1]RTO Register'!$AA$2:$AA$698,0))="Yes","School",""),"")</f>
        <v/>
      </c>
      <c r="H372" s="6" t="e">
        <f>INDEX('[1]RTO Register'!K$2:K$698,MATCH($A372,'[1]RTO Register'!$AA$2:$AA$698,0))</f>
        <v>#N/A</v>
      </c>
      <c r="I372" s="6" t="e">
        <f>INDEX('[1]RTO Register'!L$2:L$698,MATCH($A372,'[1]RTO Register'!$AA$2:$AA$698,0))</f>
        <v>#N/A</v>
      </c>
      <c r="J372" s="6" t="e">
        <f>INDEX('[1]RTO Register'!M$2:M$698,MATCH($A372,'[1]RTO Register'!$AA$2:$AA$698,0))</f>
        <v>#N/A</v>
      </c>
      <c r="K372" s="6" t="e">
        <f>INDEX('[1]RTO Register'!N$2:N$698,MATCH($A372,'[1]RTO Register'!$AA$2:$AA$698,0))</f>
        <v>#N/A</v>
      </c>
      <c r="L372" s="6" t="e">
        <f>INDEX('[1]RTO Register'!O$2:O$698,MATCH($A372,'[1]RTO Register'!$AA$2:$AA$698,0))</f>
        <v>#N/A</v>
      </c>
      <c r="M372" s="6" t="e">
        <f>INDEX('[1]RTO Register'!P$2:P$698,MATCH($A372,'[1]RTO Register'!$AA$2:$AA$698,0))</f>
        <v>#N/A</v>
      </c>
      <c r="N372" s="6" t="e">
        <f>INDEX('[1]RTO Register'!Q$2:Q$698,MATCH($A372,'[1]RTO Register'!$AA$2:$AA$698,0))</f>
        <v>#N/A</v>
      </c>
      <c r="O372" s="6" t="e">
        <f>INDEX('[1]RTO Register'!R$2:R$698,MATCH($A372,'[1]RTO Register'!$AA$2:$AA$698,0))</f>
        <v>#N/A</v>
      </c>
      <c r="P372" s="6" t="e">
        <f>INDEX('[1]RTO Register'!S$2:S$698,MATCH($A372,'[1]RTO Register'!$AA$2:$AA$698,0))</f>
        <v>#N/A</v>
      </c>
      <c r="Q372" s="6" t="e">
        <f t="shared" si="11"/>
        <v>#N/A</v>
      </c>
    </row>
    <row r="373" spans="6:17" x14ac:dyDescent="0.25">
      <c r="F373" s="1" t="str">
        <f t="shared" si="10"/>
        <v/>
      </c>
      <c r="G373" s="1" t="str">
        <f>IFERROR(IF(INDEX('[1]RTO Register'!AP$2:AP$698,MATCH($A373,'[1]RTO Register'!$AA$2:$AA$698,0))="Yes","School",""),"")</f>
        <v/>
      </c>
      <c r="H373" s="6" t="e">
        <f>INDEX('[1]RTO Register'!K$2:K$698,MATCH($A373,'[1]RTO Register'!$AA$2:$AA$698,0))</f>
        <v>#N/A</v>
      </c>
      <c r="I373" s="6" t="e">
        <f>INDEX('[1]RTO Register'!L$2:L$698,MATCH($A373,'[1]RTO Register'!$AA$2:$AA$698,0))</f>
        <v>#N/A</v>
      </c>
      <c r="J373" s="6" t="e">
        <f>INDEX('[1]RTO Register'!M$2:M$698,MATCH($A373,'[1]RTO Register'!$AA$2:$AA$698,0))</f>
        <v>#N/A</v>
      </c>
      <c r="K373" s="6" t="e">
        <f>INDEX('[1]RTO Register'!N$2:N$698,MATCH($A373,'[1]RTO Register'!$AA$2:$AA$698,0))</f>
        <v>#N/A</v>
      </c>
      <c r="L373" s="6" t="e">
        <f>INDEX('[1]RTO Register'!O$2:O$698,MATCH($A373,'[1]RTO Register'!$AA$2:$AA$698,0))</f>
        <v>#N/A</v>
      </c>
      <c r="M373" s="6" t="e">
        <f>INDEX('[1]RTO Register'!P$2:P$698,MATCH($A373,'[1]RTO Register'!$AA$2:$AA$698,0))</f>
        <v>#N/A</v>
      </c>
      <c r="N373" s="6" t="e">
        <f>INDEX('[1]RTO Register'!Q$2:Q$698,MATCH($A373,'[1]RTO Register'!$AA$2:$AA$698,0))</f>
        <v>#N/A</v>
      </c>
      <c r="O373" s="6" t="e">
        <f>INDEX('[1]RTO Register'!R$2:R$698,MATCH($A373,'[1]RTO Register'!$AA$2:$AA$698,0))</f>
        <v>#N/A</v>
      </c>
      <c r="P373" s="6" t="e">
        <f>INDEX('[1]RTO Register'!S$2:S$698,MATCH($A373,'[1]RTO Register'!$AA$2:$AA$698,0))</f>
        <v>#N/A</v>
      </c>
      <c r="Q373" s="6" t="e">
        <f t="shared" si="11"/>
        <v>#N/A</v>
      </c>
    </row>
    <row r="374" spans="6:17" x14ac:dyDescent="0.25">
      <c r="F374" s="1" t="str">
        <f t="shared" si="10"/>
        <v/>
      </c>
      <c r="G374" s="1" t="str">
        <f>IFERROR(IF(INDEX('[1]RTO Register'!AP$2:AP$698,MATCH($A374,'[1]RTO Register'!$AA$2:$AA$698,0))="Yes","School",""),"")</f>
        <v/>
      </c>
      <c r="H374" s="6" t="e">
        <f>INDEX('[1]RTO Register'!K$2:K$698,MATCH($A374,'[1]RTO Register'!$AA$2:$AA$698,0))</f>
        <v>#N/A</v>
      </c>
      <c r="I374" s="6" t="e">
        <f>INDEX('[1]RTO Register'!L$2:L$698,MATCH($A374,'[1]RTO Register'!$AA$2:$AA$698,0))</f>
        <v>#N/A</v>
      </c>
      <c r="J374" s="6" t="e">
        <f>INDEX('[1]RTO Register'!M$2:M$698,MATCH($A374,'[1]RTO Register'!$AA$2:$AA$698,0))</f>
        <v>#N/A</v>
      </c>
      <c r="K374" s="6" t="e">
        <f>INDEX('[1]RTO Register'!N$2:N$698,MATCH($A374,'[1]RTO Register'!$AA$2:$AA$698,0))</f>
        <v>#N/A</v>
      </c>
      <c r="L374" s="6" t="e">
        <f>INDEX('[1]RTO Register'!O$2:O$698,MATCH($A374,'[1]RTO Register'!$AA$2:$AA$698,0))</f>
        <v>#N/A</v>
      </c>
      <c r="M374" s="6" t="e">
        <f>INDEX('[1]RTO Register'!P$2:P$698,MATCH($A374,'[1]RTO Register'!$AA$2:$AA$698,0))</f>
        <v>#N/A</v>
      </c>
      <c r="N374" s="6" t="e">
        <f>INDEX('[1]RTO Register'!Q$2:Q$698,MATCH($A374,'[1]RTO Register'!$AA$2:$AA$698,0))</f>
        <v>#N/A</v>
      </c>
      <c r="O374" s="6" t="e">
        <f>INDEX('[1]RTO Register'!R$2:R$698,MATCH($A374,'[1]RTO Register'!$AA$2:$AA$698,0))</f>
        <v>#N/A</v>
      </c>
      <c r="P374" s="6" t="e">
        <f>INDEX('[1]RTO Register'!S$2:S$698,MATCH($A374,'[1]RTO Register'!$AA$2:$AA$698,0))</f>
        <v>#N/A</v>
      </c>
      <c r="Q374" s="6" t="e">
        <f t="shared" si="11"/>
        <v>#N/A</v>
      </c>
    </row>
    <row r="375" spans="6:17" x14ac:dyDescent="0.25">
      <c r="F375" s="1" t="str">
        <f t="shared" si="10"/>
        <v/>
      </c>
      <c r="G375" s="1" t="str">
        <f>IFERROR(IF(INDEX('[1]RTO Register'!AP$2:AP$698,MATCH($A375,'[1]RTO Register'!$AA$2:$AA$698,0))="Yes","School",""),"")</f>
        <v/>
      </c>
      <c r="H375" s="6" t="e">
        <f>INDEX('[1]RTO Register'!K$2:K$698,MATCH($A375,'[1]RTO Register'!$AA$2:$AA$698,0))</f>
        <v>#N/A</v>
      </c>
      <c r="I375" s="6" t="e">
        <f>INDEX('[1]RTO Register'!L$2:L$698,MATCH($A375,'[1]RTO Register'!$AA$2:$AA$698,0))</f>
        <v>#N/A</v>
      </c>
      <c r="J375" s="6" t="e">
        <f>INDEX('[1]RTO Register'!M$2:M$698,MATCH($A375,'[1]RTO Register'!$AA$2:$AA$698,0))</f>
        <v>#N/A</v>
      </c>
      <c r="K375" s="6" t="e">
        <f>INDEX('[1]RTO Register'!N$2:N$698,MATCH($A375,'[1]RTO Register'!$AA$2:$AA$698,0))</f>
        <v>#N/A</v>
      </c>
      <c r="L375" s="6" t="e">
        <f>INDEX('[1]RTO Register'!O$2:O$698,MATCH($A375,'[1]RTO Register'!$AA$2:$AA$698,0))</f>
        <v>#N/A</v>
      </c>
      <c r="M375" s="6" t="e">
        <f>INDEX('[1]RTO Register'!P$2:P$698,MATCH($A375,'[1]RTO Register'!$AA$2:$AA$698,0))</f>
        <v>#N/A</v>
      </c>
      <c r="N375" s="6" t="e">
        <f>INDEX('[1]RTO Register'!Q$2:Q$698,MATCH($A375,'[1]RTO Register'!$AA$2:$AA$698,0))</f>
        <v>#N/A</v>
      </c>
      <c r="O375" s="6" t="e">
        <f>INDEX('[1]RTO Register'!R$2:R$698,MATCH($A375,'[1]RTO Register'!$AA$2:$AA$698,0))</f>
        <v>#N/A</v>
      </c>
      <c r="P375" s="6" t="e">
        <f>INDEX('[1]RTO Register'!S$2:S$698,MATCH($A375,'[1]RTO Register'!$AA$2:$AA$698,0))</f>
        <v>#N/A</v>
      </c>
      <c r="Q375" s="6" t="e">
        <f t="shared" si="11"/>
        <v>#N/A</v>
      </c>
    </row>
    <row r="376" spans="6:17" x14ac:dyDescent="0.25">
      <c r="F376" s="1" t="str">
        <f t="shared" si="10"/>
        <v/>
      </c>
      <c r="G376" s="1" t="str">
        <f>IFERROR(IF(INDEX('[1]RTO Register'!AP$2:AP$698,MATCH($A376,'[1]RTO Register'!$AA$2:$AA$698,0))="Yes","School",""),"")</f>
        <v/>
      </c>
      <c r="H376" s="6" t="e">
        <f>INDEX('[1]RTO Register'!K$2:K$698,MATCH($A376,'[1]RTO Register'!$AA$2:$AA$698,0))</f>
        <v>#N/A</v>
      </c>
      <c r="I376" s="6" t="e">
        <f>INDEX('[1]RTO Register'!L$2:L$698,MATCH($A376,'[1]RTO Register'!$AA$2:$AA$698,0))</f>
        <v>#N/A</v>
      </c>
      <c r="J376" s="6" t="e">
        <f>INDEX('[1]RTO Register'!M$2:M$698,MATCH($A376,'[1]RTO Register'!$AA$2:$AA$698,0))</f>
        <v>#N/A</v>
      </c>
      <c r="K376" s="6" t="e">
        <f>INDEX('[1]RTO Register'!N$2:N$698,MATCH($A376,'[1]RTO Register'!$AA$2:$AA$698,0))</f>
        <v>#N/A</v>
      </c>
      <c r="L376" s="6" t="e">
        <f>INDEX('[1]RTO Register'!O$2:O$698,MATCH($A376,'[1]RTO Register'!$AA$2:$AA$698,0))</f>
        <v>#N/A</v>
      </c>
      <c r="M376" s="6" t="e">
        <f>INDEX('[1]RTO Register'!P$2:P$698,MATCH($A376,'[1]RTO Register'!$AA$2:$AA$698,0))</f>
        <v>#N/A</v>
      </c>
      <c r="N376" s="6" t="e">
        <f>INDEX('[1]RTO Register'!Q$2:Q$698,MATCH($A376,'[1]RTO Register'!$AA$2:$AA$698,0))</f>
        <v>#N/A</v>
      </c>
      <c r="O376" s="6" t="e">
        <f>INDEX('[1]RTO Register'!R$2:R$698,MATCH($A376,'[1]RTO Register'!$AA$2:$AA$698,0))</f>
        <v>#N/A</v>
      </c>
      <c r="P376" s="6" t="e">
        <f>INDEX('[1]RTO Register'!S$2:S$698,MATCH($A376,'[1]RTO Register'!$AA$2:$AA$698,0))</f>
        <v>#N/A</v>
      </c>
      <c r="Q376" s="6" t="e">
        <f t="shared" si="11"/>
        <v>#N/A</v>
      </c>
    </row>
    <row r="377" spans="6:17" x14ac:dyDescent="0.25">
      <c r="F377" s="1" t="str">
        <f t="shared" si="10"/>
        <v/>
      </c>
      <c r="G377" s="1" t="str">
        <f>IFERROR(IF(INDEX('[1]RTO Register'!AP$2:AP$698,MATCH($A377,'[1]RTO Register'!$AA$2:$AA$698,0))="Yes","School",""),"")</f>
        <v/>
      </c>
      <c r="H377" s="6" t="e">
        <f>INDEX('[1]RTO Register'!K$2:K$698,MATCH($A377,'[1]RTO Register'!$AA$2:$AA$698,0))</f>
        <v>#N/A</v>
      </c>
      <c r="I377" s="6" t="e">
        <f>INDEX('[1]RTO Register'!L$2:L$698,MATCH($A377,'[1]RTO Register'!$AA$2:$AA$698,0))</f>
        <v>#N/A</v>
      </c>
      <c r="J377" s="6" t="e">
        <f>INDEX('[1]RTO Register'!M$2:M$698,MATCH($A377,'[1]RTO Register'!$AA$2:$AA$698,0))</f>
        <v>#N/A</v>
      </c>
      <c r="K377" s="6" t="e">
        <f>INDEX('[1]RTO Register'!N$2:N$698,MATCH($A377,'[1]RTO Register'!$AA$2:$AA$698,0))</f>
        <v>#N/A</v>
      </c>
      <c r="L377" s="6" t="e">
        <f>INDEX('[1]RTO Register'!O$2:O$698,MATCH($A377,'[1]RTO Register'!$AA$2:$AA$698,0))</f>
        <v>#N/A</v>
      </c>
      <c r="M377" s="6" t="e">
        <f>INDEX('[1]RTO Register'!P$2:P$698,MATCH($A377,'[1]RTO Register'!$AA$2:$AA$698,0))</f>
        <v>#N/A</v>
      </c>
      <c r="N377" s="6" t="e">
        <f>INDEX('[1]RTO Register'!Q$2:Q$698,MATCH($A377,'[1]RTO Register'!$AA$2:$AA$698,0))</f>
        <v>#N/A</v>
      </c>
      <c r="O377" s="6" t="e">
        <f>INDEX('[1]RTO Register'!R$2:R$698,MATCH($A377,'[1]RTO Register'!$AA$2:$AA$698,0))</f>
        <v>#N/A</v>
      </c>
      <c r="P377" s="6" t="e">
        <f>INDEX('[1]RTO Register'!S$2:S$698,MATCH($A377,'[1]RTO Register'!$AA$2:$AA$698,0))</f>
        <v>#N/A</v>
      </c>
      <c r="Q377" s="6" t="e">
        <f t="shared" si="11"/>
        <v>#N/A</v>
      </c>
    </row>
    <row r="378" spans="6:17" x14ac:dyDescent="0.25">
      <c r="F378" s="1" t="str">
        <f t="shared" si="10"/>
        <v/>
      </c>
      <c r="G378" s="1" t="str">
        <f>IFERROR(IF(INDEX('[1]RTO Register'!AP$2:AP$698,MATCH($A378,'[1]RTO Register'!$AA$2:$AA$698,0))="Yes","School",""),"")</f>
        <v/>
      </c>
      <c r="H378" s="6" t="e">
        <f>INDEX('[1]RTO Register'!K$2:K$698,MATCH($A378,'[1]RTO Register'!$AA$2:$AA$698,0))</f>
        <v>#N/A</v>
      </c>
      <c r="I378" s="6" t="e">
        <f>INDEX('[1]RTO Register'!L$2:L$698,MATCH($A378,'[1]RTO Register'!$AA$2:$AA$698,0))</f>
        <v>#N/A</v>
      </c>
      <c r="J378" s="6" t="e">
        <f>INDEX('[1]RTO Register'!M$2:M$698,MATCH($A378,'[1]RTO Register'!$AA$2:$AA$698,0))</f>
        <v>#N/A</v>
      </c>
      <c r="K378" s="6" t="e">
        <f>INDEX('[1]RTO Register'!N$2:N$698,MATCH($A378,'[1]RTO Register'!$AA$2:$AA$698,0))</f>
        <v>#N/A</v>
      </c>
      <c r="L378" s="6" t="e">
        <f>INDEX('[1]RTO Register'!O$2:O$698,MATCH($A378,'[1]RTO Register'!$AA$2:$AA$698,0))</f>
        <v>#N/A</v>
      </c>
      <c r="M378" s="6" t="e">
        <f>INDEX('[1]RTO Register'!P$2:P$698,MATCH($A378,'[1]RTO Register'!$AA$2:$AA$698,0))</f>
        <v>#N/A</v>
      </c>
      <c r="N378" s="6" t="e">
        <f>INDEX('[1]RTO Register'!Q$2:Q$698,MATCH($A378,'[1]RTO Register'!$AA$2:$AA$698,0))</f>
        <v>#N/A</v>
      </c>
      <c r="O378" s="6" t="e">
        <f>INDEX('[1]RTO Register'!R$2:R$698,MATCH($A378,'[1]RTO Register'!$AA$2:$AA$698,0))</f>
        <v>#N/A</v>
      </c>
      <c r="P378" s="6" t="e">
        <f>INDEX('[1]RTO Register'!S$2:S$698,MATCH($A378,'[1]RTO Register'!$AA$2:$AA$698,0))</f>
        <v>#N/A</v>
      </c>
      <c r="Q378" s="6" t="e">
        <f t="shared" si="11"/>
        <v>#N/A</v>
      </c>
    </row>
    <row r="379" spans="6:17" x14ac:dyDescent="0.25">
      <c r="F379" s="1" t="str">
        <f t="shared" si="10"/>
        <v/>
      </c>
      <c r="G379" s="1" t="str">
        <f>IFERROR(IF(INDEX('[1]RTO Register'!AP$2:AP$698,MATCH($A379,'[1]RTO Register'!$AA$2:$AA$698,0))="Yes","School",""),"")</f>
        <v/>
      </c>
      <c r="H379" s="6" t="e">
        <f>INDEX('[1]RTO Register'!K$2:K$698,MATCH($A379,'[1]RTO Register'!$AA$2:$AA$698,0))</f>
        <v>#N/A</v>
      </c>
      <c r="I379" s="6" t="e">
        <f>INDEX('[1]RTO Register'!L$2:L$698,MATCH($A379,'[1]RTO Register'!$AA$2:$AA$698,0))</f>
        <v>#N/A</v>
      </c>
      <c r="J379" s="6" t="e">
        <f>INDEX('[1]RTO Register'!M$2:M$698,MATCH($A379,'[1]RTO Register'!$AA$2:$AA$698,0))</f>
        <v>#N/A</v>
      </c>
      <c r="K379" s="6" t="e">
        <f>INDEX('[1]RTO Register'!N$2:N$698,MATCH($A379,'[1]RTO Register'!$AA$2:$AA$698,0))</f>
        <v>#N/A</v>
      </c>
      <c r="L379" s="6" t="e">
        <f>INDEX('[1]RTO Register'!O$2:O$698,MATCH($A379,'[1]RTO Register'!$AA$2:$AA$698,0))</f>
        <v>#N/A</v>
      </c>
      <c r="M379" s="6" t="e">
        <f>INDEX('[1]RTO Register'!P$2:P$698,MATCH($A379,'[1]RTO Register'!$AA$2:$AA$698,0))</f>
        <v>#N/A</v>
      </c>
      <c r="N379" s="6" t="e">
        <f>INDEX('[1]RTO Register'!Q$2:Q$698,MATCH($A379,'[1]RTO Register'!$AA$2:$AA$698,0))</f>
        <v>#N/A</v>
      </c>
      <c r="O379" s="6" t="e">
        <f>INDEX('[1]RTO Register'!R$2:R$698,MATCH($A379,'[1]RTO Register'!$AA$2:$AA$698,0))</f>
        <v>#N/A</v>
      </c>
      <c r="P379" s="6" t="e">
        <f>INDEX('[1]RTO Register'!S$2:S$698,MATCH($A379,'[1]RTO Register'!$AA$2:$AA$698,0))</f>
        <v>#N/A</v>
      </c>
      <c r="Q379" s="6" t="e">
        <f t="shared" si="11"/>
        <v>#N/A</v>
      </c>
    </row>
    <row r="380" spans="6:17" x14ac:dyDescent="0.25">
      <c r="F380" s="1" t="str">
        <f t="shared" si="10"/>
        <v/>
      </c>
      <c r="G380" s="1" t="str">
        <f>IFERROR(IF(INDEX('[1]RTO Register'!AP$2:AP$698,MATCH($A380,'[1]RTO Register'!$AA$2:$AA$698,0))="Yes","School",""),"")</f>
        <v/>
      </c>
      <c r="H380" s="6" t="e">
        <f>INDEX('[1]RTO Register'!K$2:K$698,MATCH($A380,'[1]RTO Register'!$AA$2:$AA$698,0))</f>
        <v>#N/A</v>
      </c>
      <c r="I380" s="6" t="e">
        <f>INDEX('[1]RTO Register'!L$2:L$698,MATCH($A380,'[1]RTO Register'!$AA$2:$AA$698,0))</f>
        <v>#N/A</v>
      </c>
      <c r="J380" s="6" t="e">
        <f>INDEX('[1]RTO Register'!M$2:M$698,MATCH($A380,'[1]RTO Register'!$AA$2:$AA$698,0))</f>
        <v>#N/A</v>
      </c>
      <c r="K380" s="6" t="e">
        <f>INDEX('[1]RTO Register'!N$2:N$698,MATCH($A380,'[1]RTO Register'!$AA$2:$AA$698,0))</f>
        <v>#N/A</v>
      </c>
      <c r="L380" s="6" t="e">
        <f>INDEX('[1]RTO Register'!O$2:O$698,MATCH($A380,'[1]RTO Register'!$AA$2:$AA$698,0))</f>
        <v>#N/A</v>
      </c>
      <c r="M380" s="6" t="e">
        <f>INDEX('[1]RTO Register'!P$2:P$698,MATCH($A380,'[1]RTO Register'!$AA$2:$AA$698,0))</f>
        <v>#N/A</v>
      </c>
      <c r="N380" s="6" t="e">
        <f>INDEX('[1]RTO Register'!Q$2:Q$698,MATCH($A380,'[1]RTO Register'!$AA$2:$AA$698,0))</f>
        <v>#N/A</v>
      </c>
      <c r="O380" s="6" t="e">
        <f>INDEX('[1]RTO Register'!R$2:R$698,MATCH($A380,'[1]RTO Register'!$AA$2:$AA$698,0))</f>
        <v>#N/A</v>
      </c>
      <c r="P380" s="6" t="e">
        <f>INDEX('[1]RTO Register'!S$2:S$698,MATCH($A380,'[1]RTO Register'!$AA$2:$AA$698,0))</f>
        <v>#N/A</v>
      </c>
      <c r="Q380" s="6" t="e">
        <f t="shared" si="11"/>
        <v>#N/A</v>
      </c>
    </row>
    <row r="381" spans="6:17" x14ac:dyDescent="0.25">
      <c r="F381" s="1" t="str">
        <f t="shared" si="10"/>
        <v/>
      </c>
      <c r="G381" s="1" t="str">
        <f>IFERROR(IF(INDEX('[1]RTO Register'!AP$2:AP$698,MATCH($A381,'[1]RTO Register'!$AA$2:$AA$698,0))="Yes","School",""),"")</f>
        <v/>
      </c>
      <c r="H381" s="6" t="e">
        <f>INDEX('[1]RTO Register'!K$2:K$698,MATCH($A381,'[1]RTO Register'!$AA$2:$AA$698,0))</f>
        <v>#N/A</v>
      </c>
      <c r="I381" s="6" t="e">
        <f>INDEX('[1]RTO Register'!L$2:L$698,MATCH($A381,'[1]RTO Register'!$AA$2:$AA$698,0))</f>
        <v>#N/A</v>
      </c>
      <c r="J381" s="6" t="e">
        <f>INDEX('[1]RTO Register'!M$2:M$698,MATCH($A381,'[1]RTO Register'!$AA$2:$AA$698,0))</f>
        <v>#N/A</v>
      </c>
      <c r="K381" s="6" t="e">
        <f>INDEX('[1]RTO Register'!N$2:N$698,MATCH($A381,'[1]RTO Register'!$AA$2:$AA$698,0))</f>
        <v>#N/A</v>
      </c>
      <c r="L381" s="6" t="e">
        <f>INDEX('[1]RTO Register'!O$2:O$698,MATCH($A381,'[1]RTO Register'!$AA$2:$AA$698,0))</f>
        <v>#N/A</v>
      </c>
      <c r="M381" s="6" t="e">
        <f>INDEX('[1]RTO Register'!P$2:P$698,MATCH($A381,'[1]RTO Register'!$AA$2:$AA$698,0))</f>
        <v>#N/A</v>
      </c>
      <c r="N381" s="6" t="e">
        <f>INDEX('[1]RTO Register'!Q$2:Q$698,MATCH($A381,'[1]RTO Register'!$AA$2:$AA$698,0))</f>
        <v>#N/A</v>
      </c>
      <c r="O381" s="6" t="e">
        <f>INDEX('[1]RTO Register'!R$2:R$698,MATCH($A381,'[1]RTO Register'!$AA$2:$AA$698,0))</f>
        <v>#N/A</v>
      </c>
      <c r="P381" s="6" t="e">
        <f>INDEX('[1]RTO Register'!S$2:S$698,MATCH($A381,'[1]RTO Register'!$AA$2:$AA$698,0))</f>
        <v>#N/A</v>
      </c>
      <c r="Q381" s="6" t="e">
        <f t="shared" si="11"/>
        <v>#N/A</v>
      </c>
    </row>
    <row r="382" spans="6:17" x14ac:dyDescent="0.25">
      <c r="F382" s="1" t="str">
        <f t="shared" si="10"/>
        <v/>
      </c>
      <c r="G382" s="1" t="str">
        <f>IFERROR(IF(INDEX('[1]RTO Register'!AP$2:AP$698,MATCH($A382,'[1]RTO Register'!$AA$2:$AA$698,0))="Yes","School",""),"")</f>
        <v/>
      </c>
      <c r="H382" s="6" t="e">
        <f>INDEX('[1]RTO Register'!K$2:K$698,MATCH($A382,'[1]RTO Register'!$AA$2:$AA$698,0))</f>
        <v>#N/A</v>
      </c>
      <c r="I382" s="6" t="e">
        <f>INDEX('[1]RTO Register'!L$2:L$698,MATCH($A382,'[1]RTO Register'!$AA$2:$AA$698,0))</f>
        <v>#N/A</v>
      </c>
      <c r="J382" s="6" t="e">
        <f>INDEX('[1]RTO Register'!M$2:M$698,MATCH($A382,'[1]RTO Register'!$AA$2:$AA$698,0))</f>
        <v>#N/A</v>
      </c>
      <c r="K382" s="6" t="e">
        <f>INDEX('[1]RTO Register'!N$2:N$698,MATCH($A382,'[1]RTO Register'!$AA$2:$AA$698,0))</f>
        <v>#N/A</v>
      </c>
      <c r="L382" s="6" t="e">
        <f>INDEX('[1]RTO Register'!O$2:O$698,MATCH($A382,'[1]RTO Register'!$AA$2:$AA$698,0))</f>
        <v>#N/A</v>
      </c>
      <c r="M382" s="6" t="e">
        <f>INDEX('[1]RTO Register'!P$2:P$698,MATCH($A382,'[1]RTO Register'!$AA$2:$AA$698,0))</f>
        <v>#N/A</v>
      </c>
      <c r="N382" s="6" t="e">
        <f>INDEX('[1]RTO Register'!Q$2:Q$698,MATCH($A382,'[1]RTO Register'!$AA$2:$AA$698,0))</f>
        <v>#N/A</v>
      </c>
      <c r="O382" s="6" t="e">
        <f>INDEX('[1]RTO Register'!R$2:R$698,MATCH($A382,'[1]RTO Register'!$AA$2:$AA$698,0))</f>
        <v>#N/A</v>
      </c>
      <c r="P382" s="6" t="e">
        <f>INDEX('[1]RTO Register'!S$2:S$698,MATCH($A382,'[1]RTO Register'!$AA$2:$AA$698,0))</f>
        <v>#N/A</v>
      </c>
      <c r="Q382" s="6" t="e">
        <f t="shared" si="11"/>
        <v>#N/A</v>
      </c>
    </row>
    <row r="383" spans="6:17" x14ac:dyDescent="0.25">
      <c r="F383" s="1" t="str">
        <f t="shared" si="10"/>
        <v/>
      </c>
      <c r="G383" s="1" t="str">
        <f>IFERROR(IF(INDEX('[1]RTO Register'!AP$2:AP$698,MATCH($A383,'[1]RTO Register'!$AA$2:$AA$698,0))="Yes","School",""),"")</f>
        <v/>
      </c>
      <c r="H383" s="6" t="e">
        <f>INDEX('[1]RTO Register'!K$2:K$698,MATCH($A383,'[1]RTO Register'!$AA$2:$AA$698,0))</f>
        <v>#N/A</v>
      </c>
      <c r="I383" s="6" t="e">
        <f>INDEX('[1]RTO Register'!L$2:L$698,MATCH($A383,'[1]RTO Register'!$AA$2:$AA$698,0))</f>
        <v>#N/A</v>
      </c>
      <c r="J383" s="6" t="e">
        <f>INDEX('[1]RTO Register'!M$2:M$698,MATCH($A383,'[1]RTO Register'!$AA$2:$AA$698,0))</f>
        <v>#N/A</v>
      </c>
      <c r="K383" s="6" t="e">
        <f>INDEX('[1]RTO Register'!N$2:N$698,MATCH($A383,'[1]RTO Register'!$AA$2:$AA$698,0))</f>
        <v>#N/A</v>
      </c>
      <c r="L383" s="6" t="e">
        <f>INDEX('[1]RTO Register'!O$2:O$698,MATCH($A383,'[1]RTO Register'!$AA$2:$AA$698,0))</f>
        <v>#N/A</v>
      </c>
      <c r="M383" s="6" t="e">
        <f>INDEX('[1]RTO Register'!P$2:P$698,MATCH($A383,'[1]RTO Register'!$AA$2:$AA$698,0))</f>
        <v>#N/A</v>
      </c>
      <c r="N383" s="6" t="e">
        <f>INDEX('[1]RTO Register'!Q$2:Q$698,MATCH($A383,'[1]RTO Register'!$AA$2:$AA$698,0))</f>
        <v>#N/A</v>
      </c>
      <c r="O383" s="6" t="e">
        <f>INDEX('[1]RTO Register'!R$2:R$698,MATCH($A383,'[1]RTO Register'!$AA$2:$AA$698,0))</f>
        <v>#N/A</v>
      </c>
      <c r="P383" s="6" t="e">
        <f>INDEX('[1]RTO Register'!S$2:S$698,MATCH($A383,'[1]RTO Register'!$AA$2:$AA$698,0))</f>
        <v>#N/A</v>
      </c>
      <c r="Q383" s="6" t="e">
        <f t="shared" si="11"/>
        <v>#N/A</v>
      </c>
    </row>
    <row r="384" spans="6:17" x14ac:dyDescent="0.25">
      <c r="F384" s="1" t="str">
        <f t="shared" si="10"/>
        <v/>
      </c>
      <c r="G384" s="1" t="str">
        <f>IFERROR(IF(INDEX('[1]RTO Register'!AP$2:AP$698,MATCH($A384,'[1]RTO Register'!$AA$2:$AA$698,0))="Yes","School",""),"")</f>
        <v/>
      </c>
      <c r="H384" s="6" t="e">
        <f>INDEX('[1]RTO Register'!K$2:K$698,MATCH($A384,'[1]RTO Register'!$AA$2:$AA$698,0))</f>
        <v>#N/A</v>
      </c>
      <c r="I384" s="6" t="e">
        <f>INDEX('[1]RTO Register'!L$2:L$698,MATCH($A384,'[1]RTO Register'!$AA$2:$AA$698,0))</f>
        <v>#N/A</v>
      </c>
      <c r="J384" s="6" t="e">
        <f>INDEX('[1]RTO Register'!M$2:M$698,MATCH($A384,'[1]RTO Register'!$AA$2:$AA$698,0))</f>
        <v>#N/A</v>
      </c>
      <c r="K384" s="6" t="e">
        <f>INDEX('[1]RTO Register'!N$2:N$698,MATCH($A384,'[1]RTO Register'!$AA$2:$AA$698,0))</f>
        <v>#N/A</v>
      </c>
      <c r="L384" s="6" t="e">
        <f>INDEX('[1]RTO Register'!O$2:O$698,MATCH($A384,'[1]RTO Register'!$AA$2:$AA$698,0))</f>
        <v>#N/A</v>
      </c>
      <c r="M384" s="6" t="e">
        <f>INDEX('[1]RTO Register'!P$2:P$698,MATCH($A384,'[1]RTO Register'!$AA$2:$AA$698,0))</f>
        <v>#N/A</v>
      </c>
      <c r="N384" s="6" t="e">
        <f>INDEX('[1]RTO Register'!Q$2:Q$698,MATCH($A384,'[1]RTO Register'!$AA$2:$AA$698,0))</f>
        <v>#N/A</v>
      </c>
      <c r="O384" s="6" t="e">
        <f>INDEX('[1]RTO Register'!R$2:R$698,MATCH($A384,'[1]RTO Register'!$AA$2:$AA$698,0))</f>
        <v>#N/A</v>
      </c>
      <c r="P384" s="6" t="e">
        <f>INDEX('[1]RTO Register'!S$2:S$698,MATCH($A384,'[1]RTO Register'!$AA$2:$AA$698,0))</f>
        <v>#N/A</v>
      </c>
      <c r="Q384" s="6" t="e">
        <f t="shared" si="11"/>
        <v>#N/A</v>
      </c>
    </row>
    <row r="385" spans="6:17" x14ac:dyDescent="0.25">
      <c r="F385" s="1" t="str">
        <f t="shared" si="10"/>
        <v/>
      </c>
      <c r="G385" s="1" t="str">
        <f>IFERROR(IF(INDEX('[1]RTO Register'!AP$2:AP$698,MATCH($A385,'[1]RTO Register'!$AA$2:$AA$698,0))="Yes","School",""),"")</f>
        <v/>
      </c>
      <c r="H385" s="6" t="e">
        <f>INDEX('[1]RTO Register'!K$2:K$698,MATCH($A385,'[1]RTO Register'!$AA$2:$AA$698,0))</f>
        <v>#N/A</v>
      </c>
      <c r="I385" s="6" t="e">
        <f>INDEX('[1]RTO Register'!L$2:L$698,MATCH($A385,'[1]RTO Register'!$AA$2:$AA$698,0))</f>
        <v>#N/A</v>
      </c>
      <c r="J385" s="6" t="e">
        <f>INDEX('[1]RTO Register'!M$2:M$698,MATCH($A385,'[1]RTO Register'!$AA$2:$AA$698,0))</f>
        <v>#N/A</v>
      </c>
      <c r="K385" s="6" t="e">
        <f>INDEX('[1]RTO Register'!N$2:N$698,MATCH($A385,'[1]RTO Register'!$AA$2:$AA$698,0))</f>
        <v>#N/A</v>
      </c>
      <c r="L385" s="6" t="e">
        <f>INDEX('[1]RTO Register'!O$2:O$698,MATCH($A385,'[1]RTO Register'!$AA$2:$AA$698,0))</f>
        <v>#N/A</v>
      </c>
      <c r="M385" s="6" t="e">
        <f>INDEX('[1]RTO Register'!P$2:P$698,MATCH($A385,'[1]RTO Register'!$AA$2:$AA$698,0))</f>
        <v>#N/A</v>
      </c>
      <c r="N385" s="6" t="e">
        <f>INDEX('[1]RTO Register'!Q$2:Q$698,MATCH($A385,'[1]RTO Register'!$AA$2:$AA$698,0))</f>
        <v>#N/A</v>
      </c>
      <c r="O385" s="6" t="e">
        <f>INDEX('[1]RTO Register'!R$2:R$698,MATCH($A385,'[1]RTO Register'!$AA$2:$AA$698,0))</f>
        <v>#N/A</v>
      </c>
      <c r="P385" s="6" t="e">
        <f>INDEX('[1]RTO Register'!S$2:S$698,MATCH($A385,'[1]RTO Register'!$AA$2:$AA$698,0))</f>
        <v>#N/A</v>
      </c>
      <c r="Q385" s="6" t="e">
        <f t="shared" si="11"/>
        <v>#N/A</v>
      </c>
    </row>
    <row r="386" spans="6:17" x14ac:dyDescent="0.25">
      <c r="F386" s="1" t="str">
        <f t="shared" si="10"/>
        <v/>
      </c>
      <c r="G386" s="1" t="str">
        <f>IFERROR(IF(INDEX('[1]RTO Register'!AP$2:AP$698,MATCH($A386,'[1]RTO Register'!$AA$2:$AA$698,0))="Yes","School",""),"")</f>
        <v/>
      </c>
      <c r="H386" s="6" t="e">
        <f>INDEX('[1]RTO Register'!K$2:K$698,MATCH($A386,'[1]RTO Register'!$AA$2:$AA$698,0))</f>
        <v>#N/A</v>
      </c>
      <c r="I386" s="6" t="e">
        <f>INDEX('[1]RTO Register'!L$2:L$698,MATCH($A386,'[1]RTO Register'!$AA$2:$AA$698,0))</f>
        <v>#N/A</v>
      </c>
      <c r="J386" s="6" t="e">
        <f>INDEX('[1]RTO Register'!M$2:M$698,MATCH($A386,'[1]RTO Register'!$AA$2:$AA$698,0))</f>
        <v>#N/A</v>
      </c>
      <c r="K386" s="6" t="e">
        <f>INDEX('[1]RTO Register'!N$2:N$698,MATCH($A386,'[1]RTO Register'!$AA$2:$AA$698,0))</f>
        <v>#N/A</v>
      </c>
      <c r="L386" s="6" t="e">
        <f>INDEX('[1]RTO Register'!O$2:O$698,MATCH($A386,'[1]RTO Register'!$AA$2:$AA$698,0))</f>
        <v>#N/A</v>
      </c>
      <c r="M386" s="6" t="e">
        <f>INDEX('[1]RTO Register'!P$2:P$698,MATCH($A386,'[1]RTO Register'!$AA$2:$AA$698,0))</f>
        <v>#N/A</v>
      </c>
      <c r="N386" s="6" t="e">
        <f>INDEX('[1]RTO Register'!Q$2:Q$698,MATCH($A386,'[1]RTO Register'!$AA$2:$AA$698,0))</f>
        <v>#N/A</v>
      </c>
      <c r="O386" s="6" t="e">
        <f>INDEX('[1]RTO Register'!R$2:R$698,MATCH($A386,'[1]RTO Register'!$AA$2:$AA$698,0))</f>
        <v>#N/A</v>
      </c>
      <c r="P386" s="6" t="e">
        <f>INDEX('[1]RTO Register'!S$2:S$698,MATCH($A386,'[1]RTO Register'!$AA$2:$AA$698,0))</f>
        <v>#N/A</v>
      </c>
      <c r="Q386" s="6" t="e">
        <f t="shared" si="11"/>
        <v>#N/A</v>
      </c>
    </row>
    <row r="387" spans="6:17" x14ac:dyDescent="0.25">
      <c r="F387" s="1" t="str">
        <f t="shared" si="10"/>
        <v/>
      </c>
      <c r="G387" s="1" t="str">
        <f>IFERROR(IF(INDEX('[1]RTO Register'!AP$2:AP$698,MATCH($A387,'[1]RTO Register'!$AA$2:$AA$698,0))="Yes","School",""),"")</f>
        <v/>
      </c>
      <c r="H387" s="6" t="e">
        <f>INDEX('[1]RTO Register'!K$2:K$698,MATCH($A387,'[1]RTO Register'!$AA$2:$AA$698,0))</f>
        <v>#N/A</v>
      </c>
      <c r="I387" s="6" t="e">
        <f>INDEX('[1]RTO Register'!L$2:L$698,MATCH($A387,'[1]RTO Register'!$AA$2:$AA$698,0))</f>
        <v>#N/A</v>
      </c>
      <c r="J387" s="6" t="e">
        <f>INDEX('[1]RTO Register'!M$2:M$698,MATCH($A387,'[1]RTO Register'!$AA$2:$AA$698,0))</f>
        <v>#N/A</v>
      </c>
      <c r="K387" s="6" t="e">
        <f>INDEX('[1]RTO Register'!N$2:N$698,MATCH($A387,'[1]RTO Register'!$AA$2:$AA$698,0))</f>
        <v>#N/A</v>
      </c>
      <c r="L387" s="6" t="e">
        <f>INDEX('[1]RTO Register'!O$2:O$698,MATCH($A387,'[1]RTO Register'!$AA$2:$AA$698,0))</f>
        <v>#N/A</v>
      </c>
      <c r="M387" s="6" t="e">
        <f>INDEX('[1]RTO Register'!P$2:P$698,MATCH($A387,'[1]RTO Register'!$AA$2:$AA$698,0))</f>
        <v>#N/A</v>
      </c>
      <c r="N387" s="6" t="e">
        <f>INDEX('[1]RTO Register'!Q$2:Q$698,MATCH($A387,'[1]RTO Register'!$AA$2:$AA$698,0))</f>
        <v>#N/A</v>
      </c>
      <c r="O387" s="6" t="e">
        <f>INDEX('[1]RTO Register'!R$2:R$698,MATCH($A387,'[1]RTO Register'!$AA$2:$AA$698,0))</f>
        <v>#N/A</v>
      </c>
      <c r="P387" s="6" t="e">
        <f>INDEX('[1]RTO Register'!S$2:S$698,MATCH($A387,'[1]RTO Register'!$AA$2:$AA$698,0))</f>
        <v>#N/A</v>
      </c>
      <c r="Q387" s="6" t="e">
        <f t="shared" si="11"/>
        <v>#N/A</v>
      </c>
    </row>
    <row r="388" spans="6:17" x14ac:dyDescent="0.25">
      <c r="F388" s="1" t="str">
        <f t="shared" ref="F388:F400" si="12">IFERROR(IF(R388=$L$2,"CRTD approved",""),"")</f>
        <v/>
      </c>
      <c r="G388" s="1" t="str">
        <f>IFERROR(IF(INDEX('[1]RTO Register'!AP$2:AP$698,MATCH($A388,'[1]RTO Register'!$AA$2:$AA$698,0))="Yes","School",""),"")</f>
        <v/>
      </c>
      <c r="H388" s="6" t="e">
        <f>INDEX('[1]RTO Register'!K$2:K$698,MATCH($A388,'[1]RTO Register'!$AA$2:$AA$698,0))</f>
        <v>#N/A</v>
      </c>
      <c r="I388" s="6" t="e">
        <f>INDEX('[1]RTO Register'!L$2:L$698,MATCH($A388,'[1]RTO Register'!$AA$2:$AA$698,0))</f>
        <v>#N/A</v>
      </c>
      <c r="J388" s="6" t="e">
        <f>INDEX('[1]RTO Register'!M$2:M$698,MATCH($A388,'[1]RTO Register'!$AA$2:$AA$698,0))</f>
        <v>#N/A</v>
      </c>
      <c r="K388" s="6" t="e">
        <f>INDEX('[1]RTO Register'!N$2:N$698,MATCH($A388,'[1]RTO Register'!$AA$2:$AA$698,0))</f>
        <v>#N/A</v>
      </c>
      <c r="L388" s="6" t="e">
        <f>INDEX('[1]RTO Register'!O$2:O$698,MATCH($A388,'[1]RTO Register'!$AA$2:$AA$698,0))</f>
        <v>#N/A</v>
      </c>
      <c r="M388" s="6" t="e">
        <f>INDEX('[1]RTO Register'!P$2:P$698,MATCH($A388,'[1]RTO Register'!$AA$2:$AA$698,0))</f>
        <v>#N/A</v>
      </c>
      <c r="N388" s="6" t="e">
        <f>INDEX('[1]RTO Register'!Q$2:Q$698,MATCH($A388,'[1]RTO Register'!$AA$2:$AA$698,0))</f>
        <v>#N/A</v>
      </c>
      <c r="O388" s="6" t="e">
        <f>INDEX('[1]RTO Register'!R$2:R$698,MATCH($A388,'[1]RTO Register'!$AA$2:$AA$698,0))</f>
        <v>#N/A</v>
      </c>
      <c r="P388" s="6" t="e">
        <f>INDEX('[1]RTO Register'!S$2:S$698,MATCH($A388,'[1]RTO Register'!$AA$2:$AA$698,0))</f>
        <v>#N/A</v>
      </c>
      <c r="Q388" s="6" t="e">
        <f t="shared" ref="Q388:Q400" si="13">MAX(H388:P388)</f>
        <v>#N/A</v>
      </c>
    </row>
    <row r="389" spans="6:17" x14ac:dyDescent="0.25">
      <c r="F389" s="1" t="str">
        <f t="shared" si="12"/>
        <v/>
      </c>
      <c r="G389" s="1" t="str">
        <f>IFERROR(IF(INDEX('[1]RTO Register'!AP$2:AP$698,MATCH($A389,'[1]RTO Register'!$AA$2:$AA$698,0))="Yes","School",""),"")</f>
        <v/>
      </c>
      <c r="H389" s="6" t="e">
        <f>INDEX('[1]RTO Register'!K$2:K$698,MATCH($A389,'[1]RTO Register'!$AA$2:$AA$698,0))</f>
        <v>#N/A</v>
      </c>
      <c r="I389" s="6" t="e">
        <f>INDEX('[1]RTO Register'!L$2:L$698,MATCH($A389,'[1]RTO Register'!$AA$2:$AA$698,0))</f>
        <v>#N/A</v>
      </c>
      <c r="J389" s="6" t="e">
        <f>INDEX('[1]RTO Register'!M$2:M$698,MATCH($A389,'[1]RTO Register'!$AA$2:$AA$698,0))</f>
        <v>#N/A</v>
      </c>
      <c r="K389" s="6" t="e">
        <f>INDEX('[1]RTO Register'!N$2:N$698,MATCH($A389,'[1]RTO Register'!$AA$2:$AA$698,0))</f>
        <v>#N/A</v>
      </c>
      <c r="L389" s="6" t="e">
        <f>INDEX('[1]RTO Register'!O$2:O$698,MATCH($A389,'[1]RTO Register'!$AA$2:$AA$698,0))</f>
        <v>#N/A</v>
      </c>
      <c r="M389" s="6" t="e">
        <f>INDEX('[1]RTO Register'!P$2:P$698,MATCH($A389,'[1]RTO Register'!$AA$2:$AA$698,0))</f>
        <v>#N/A</v>
      </c>
      <c r="N389" s="6" t="e">
        <f>INDEX('[1]RTO Register'!Q$2:Q$698,MATCH($A389,'[1]RTO Register'!$AA$2:$AA$698,0))</f>
        <v>#N/A</v>
      </c>
      <c r="O389" s="6" t="e">
        <f>INDEX('[1]RTO Register'!R$2:R$698,MATCH($A389,'[1]RTO Register'!$AA$2:$AA$698,0))</f>
        <v>#N/A</v>
      </c>
      <c r="P389" s="6" t="e">
        <f>INDEX('[1]RTO Register'!S$2:S$698,MATCH($A389,'[1]RTO Register'!$AA$2:$AA$698,0))</f>
        <v>#N/A</v>
      </c>
      <c r="Q389" s="6" t="e">
        <f t="shared" si="13"/>
        <v>#N/A</v>
      </c>
    </row>
    <row r="390" spans="6:17" x14ac:dyDescent="0.25">
      <c r="F390" s="1" t="str">
        <f t="shared" si="12"/>
        <v/>
      </c>
      <c r="G390" s="1" t="str">
        <f>IFERROR(IF(INDEX('[1]RTO Register'!AP$2:AP$698,MATCH($A390,'[1]RTO Register'!$AA$2:$AA$698,0))="Yes","School",""),"")</f>
        <v/>
      </c>
      <c r="H390" s="6" t="e">
        <f>INDEX('[1]RTO Register'!K$2:K$698,MATCH($A390,'[1]RTO Register'!$AA$2:$AA$698,0))</f>
        <v>#N/A</v>
      </c>
      <c r="I390" s="6" t="e">
        <f>INDEX('[1]RTO Register'!L$2:L$698,MATCH($A390,'[1]RTO Register'!$AA$2:$AA$698,0))</f>
        <v>#N/A</v>
      </c>
      <c r="J390" s="6" t="e">
        <f>INDEX('[1]RTO Register'!M$2:M$698,MATCH($A390,'[1]RTO Register'!$AA$2:$AA$698,0))</f>
        <v>#N/A</v>
      </c>
      <c r="K390" s="6" t="e">
        <f>INDEX('[1]RTO Register'!N$2:N$698,MATCH($A390,'[1]RTO Register'!$AA$2:$AA$698,0))</f>
        <v>#N/A</v>
      </c>
      <c r="L390" s="6" t="e">
        <f>INDEX('[1]RTO Register'!O$2:O$698,MATCH($A390,'[1]RTO Register'!$AA$2:$AA$698,0))</f>
        <v>#N/A</v>
      </c>
      <c r="M390" s="6" t="e">
        <f>INDEX('[1]RTO Register'!P$2:P$698,MATCH($A390,'[1]RTO Register'!$AA$2:$AA$698,0))</f>
        <v>#N/A</v>
      </c>
      <c r="N390" s="6" t="e">
        <f>INDEX('[1]RTO Register'!Q$2:Q$698,MATCH($A390,'[1]RTO Register'!$AA$2:$AA$698,0))</f>
        <v>#N/A</v>
      </c>
      <c r="O390" s="6" t="e">
        <f>INDEX('[1]RTO Register'!R$2:R$698,MATCH($A390,'[1]RTO Register'!$AA$2:$AA$698,0))</f>
        <v>#N/A</v>
      </c>
      <c r="P390" s="6" t="e">
        <f>INDEX('[1]RTO Register'!S$2:S$698,MATCH($A390,'[1]RTO Register'!$AA$2:$AA$698,0))</f>
        <v>#N/A</v>
      </c>
      <c r="Q390" s="6" t="e">
        <f t="shared" si="13"/>
        <v>#N/A</v>
      </c>
    </row>
    <row r="391" spans="6:17" x14ac:dyDescent="0.25">
      <c r="F391" s="1" t="str">
        <f t="shared" si="12"/>
        <v/>
      </c>
      <c r="G391" s="1" t="str">
        <f>IFERROR(IF(INDEX('[1]RTO Register'!AP$2:AP$698,MATCH($A391,'[1]RTO Register'!$AA$2:$AA$698,0))="Yes","School",""),"")</f>
        <v/>
      </c>
      <c r="H391" s="6" t="e">
        <f>INDEX('[1]RTO Register'!K$2:K$698,MATCH($A391,'[1]RTO Register'!$AA$2:$AA$698,0))</f>
        <v>#N/A</v>
      </c>
      <c r="I391" s="6" t="e">
        <f>INDEX('[1]RTO Register'!L$2:L$698,MATCH($A391,'[1]RTO Register'!$AA$2:$AA$698,0))</f>
        <v>#N/A</v>
      </c>
      <c r="J391" s="6" t="e">
        <f>INDEX('[1]RTO Register'!M$2:M$698,MATCH($A391,'[1]RTO Register'!$AA$2:$AA$698,0))</f>
        <v>#N/A</v>
      </c>
      <c r="K391" s="6" t="e">
        <f>INDEX('[1]RTO Register'!N$2:N$698,MATCH($A391,'[1]RTO Register'!$AA$2:$AA$698,0))</f>
        <v>#N/A</v>
      </c>
      <c r="L391" s="6" t="e">
        <f>INDEX('[1]RTO Register'!O$2:O$698,MATCH($A391,'[1]RTO Register'!$AA$2:$AA$698,0))</f>
        <v>#N/A</v>
      </c>
      <c r="M391" s="6" t="e">
        <f>INDEX('[1]RTO Register'!P$2:P$698,MATCH($A391,'[1]RTO Register'!$AA$2:$AA$698,0))</f>
        <v>#N/A</v>
      </c>
      <c r="N391" s="6" t="e">
        <f>INDEX('[1]RTO Register'!Q$2:Q$698,MATCH($A391,'[1]RTO Register'!$AA$2:$AA$698,0))</f>
        <v>#N/A</v>
      </c>
      <c r="O391" s="6" t="e">
        <f>INDEX('[1]RTO Register'!R$2:R$698,MATCH($A391,'[1]RTO Register'!$AA$2:$AA$698,0))</f>
        <v>#N/A</v>
      </c>
      <c r="P391" s="6" t="e">
        <f>INDEX('[1]RTO Register'!S$2:S$698,MATCH($A391,'[1]RTO Register'!$AA$2:$AA$698,0))</f>
        <v>#N/A</v>
      </c>
      <c r="Q391" s="6" t="e">
        <f t="shared" si="13"/>
        <v>#N/A</v>
      </c>
    </row>
    <row r="392" spans="6:17" x14ac:dyDescent="0.25">
      <c r="F392" s="1" t="str">
        <f t="shared" si="12"/>
        <v/>
      </c>
      <c r="G392" s="1" t="str">
        <f>IFERROR(IF(INDEX('[1]RTO Register'!AP$2:AP$698,MATCH($A392,'[1]RTO Register'!$AA$2:$AA$698,0))="Yes","School",""),"")</f>
        <v/>
      </c>
      <c r="H392" s="6" t="e">
        <f>INDEX('[1]RTO Register'!K$2:K$698,MATCH($A392,'[1]RTO Register'!$AA$2:$AA$698,0))</f>
        <v>#N/A</v>
      </c>
      <c r="I392" s="6" t="e">
        <f>INDEX('[1]RTO Register'!L$2:L$698,MATCH($A392,'[1]RTO Register'!$AA$2:$AA$698,0))</f>
        <v>#N/A</v>
      </c>
      <c r="J392" s="6" t="e">
        <f>INDEX('[1]RTO Register'!M$2:M$698,MATCH($A392,'[1]RTO Register'!$AA$2:$AA$698,0))</f>
        <v>#N/A</v>
      </c>
      <c r="K392" s="6" t="e">
        <f>INDEX('[1]RTO Register'!N$2:N$698,MATCH($A392,'[1]RTO Register'!$AA$2:$AA$698,0))</f>
        <v>#N/A</v>
      </c>
      <c r="L392" s="6" t="e">
        <f>INDEX('[1]RTO Register'!O$2:O$698,MATCH($A392,'[1]RTO Register'!$AA$2:$AA$698,0))</f>
        <v>#N/A</v>
      </c>
      <c r="M392" s="6" t="e">
        <f>INDEX('[1]RTO Register'!P$2:P$698,MATCH($A392,'[1]RTO Register'!$AA$2:$AA$698,0))</f>
        <v>#N/A</v>
      </c>
      <c r="N392" s="6" t="e">
        <f>INDEX('[1]RTO Register'!Q$2:Q$698,MATCH($A392,'[1]RTO Register'!$AA$2:$AA$698,0))</f>
        <v>#N/A</v>
      </c>
      <c r="O392" s="6" t="e">
        <f>INDEX('[1]RTO Register'!R$2:R$698,MATCH($A392,'[1]RTO Register'!$AA$2:$AA$698,0))</f>
        <v>#N/A</v>
      </c>
      <c r="P392" s="6" t="e">
        <f>INDEX('[1]RTO Register'!S$2:S$698,MATCH($A392,'[1]RTO Register'!$AA$2:$AA$698,0))</f>
        <v>#N/A</v>
      </c>
      <c r="Q392" s="6" t="e">
        <f t="shared" si="13"/>
        <v>#N/A</v>
      </c>
    </row>
    <row r="393" spans="6:17" x14ac:dyDescent="0.25">
      <c r="F393" s="1" t="str">
        <f t="shared" si="12"/>
        <v/>
      </c>
      <c r="G393" s="1" t="str">
        <f>IFERROR(IF(INDEX('[1]RTO Register'!AP$2:AP$698,MATCH($A393,'[1]RTO Register'!$AA$2:$AA$698,0))="Yes","School",""),"")</f>
        <v/>
      </c>
      <c r="H393" s="6" t="e">
        <f>INDEX('[1]RTO Register'!K$2:K$698,MATCH($A393,'[1]RTO Register'!$AA$2:$AA$698,0))</f>
        <v>#N/A</v>
      </c>
      <c r="I393" s="6" t="e">
        <f>INDEX('[1]RTO Register'!L$2:L$698,MATCH($A393,'[1]RTO Register'!$AA$2:$AA$698,0))</f>
        <v>#N/A</v>
      </c>
      <c r="J393" s="6" t="e">
        <f>INDEX('[1]RTO Register'!M$2:M$698,MATCH($A393,'[1]RTO Register'!$AA$2:$AA$698,0))</f>
        <v>#N/A</v>
      </c>
      <c r="K393" s="6" t="e">
        <f>INDEX('[1]RTO Register'!N$2:N$698,MATCH($A393,'[1]RTO Register'!$AA$2:$AA$698,0))</f>
        <v>#N/A</v>
      </c>
      <c r="L393" s="6" t="e">
        <f>INDEX('[1]RTO Register'!O$2:O$698,MATCH($A393,'[1]RTO Register'!$AA$2:$AA$698,0))</f>
        <v>#N/A</v>
      </c>
      <c r="M393" s="6" t="e">
        <f>INDEX('[1]RTO Register'!P$2:P$698,MATCH($A393,'[1]RTO Register'!$AA$2:$AA$698,0))</f>
        <v>#N/A</v>
      </c>
      <c r="N393" s="6" t="e">
        <f>INDEX('[1]RTO Register'!Q$2:Q$698,MATCH($A393,'[1]RTO Register'!$AA$2:$AA$698,0))</f>
        <v>#N/A</v>
      </c>
      <c r="O393" s="6" t="e">
        <f>INDEX('[1]RTO Register'!R$2:R$698,MATCH($A393,'[1]RTO Register'!$AA$2:$AA$698,0))</f>
        <v>#N/A</v>
      </c>
      <c r="P393" s="6" t="e">
        <f>INDEX('[1]RTO Register'!S$2:S$698,MATCH($A393,'[1]RTO Register'!$AA$2:$AA$698,0))</f>
        <v>#N/A</v>
      </c>
      <c r="Q393" s="6" t="e">
        <f t="shared" si="13"/>
        <v>#N/A</v>
      </c>
    </row>
    <row r="394" spans="6:17" x14ac:dyDescent="0.25">
      <c r="F394" s="1" t="str">
        <f t="shared" si="12"/>
        <v/>
      </c>
      <c r="G394" s="1" t="str">
        <f>IFERROR(IF(INDEX('[1]RTO Register'!AP$2:AP$698,MATCH($A394,'[1]RTO Register'!$AA$2:$AA$698,0))="Yes","School",""),"")</f>
        <v/>
      </c>
      <c r="H394" s="6" t="e">
        <f>INDEX('[1]RTO Register'!K$2:K$698,MATCH($A394,'[1]RTO Register'!$AA$2:$AA$698,0))</f>
        <v>#N/A</v>
      </c>
      <c r="I394" s="6" t="e">
        <f>INDEX('[1]RTO Register'!L$2:L$698,MATCH($A394,'[1]RTO Register'!$AA$2:$AA$698,0))</f>
        <v>#N/A</v>
      </c>
      <c r="J394" s="6" t="e">
        <f>INDEX('[1]RTO Register'!M$2:M$698,MATCH($A394,'[1]RTO Register'!$AA$2:$AA$698,0))</f>
        <v>#N/A</v>
      </c>
      <c r="K394" s="6" t="e">
        <f>INDEX('[1]RTO Register'!N$2:N$698,MATCH($A394,'[1]RTO Register'!$AA$2:$AA$698,0))</f>
        <v>#N/A</v>
      </c>
      <c r="L394" s="6" t="e">
        <f>INDEX('[1]RTO Register'!O$2:O$698,MATCH($A394,'[1]RTO Register'!$AA$2:$AA$698,0))</f>
        <v>#N/A</v>
      </c>
      <c r="M394" s="6" t="e">
        <f>INDEX('[1]RTO Register'!P$2:P$698,MATCH($A394,'[1]RTO Register'!$AA$2:$AA$698,0))</f>
        <v>#N/A</v>
      </c>
      <c r="N394" s="6" t="e">
        <f>INDEX('[1]RTO Register'!Q$2:Q$698,MATCH($A394,'[1]RTO Register'!$AA$2:$AA$698,0))</f>
        <v>#N/A</v>
      </c>
      <c r="O394" s="6" t="e">
        <f>INDEX('[1]RTO Register'!R$2:R$698,MATCH($A394,'[1]RTO Register'!$AA$2:$AA$698,0))</f>
        <v>#N/A</v>
      </c>
      <c r="P394" s="6" t="e">
        <f>INDEX('[1]RTO Register'!S$2:S$698,MATCH($A394,'[1]RTO Register'!$AA$2:$AA$698,0))</f>
        <v>#N/A</v>
      </c>
      <c r="Q394" s="6" t="e">
        <f t="shared" si="13"/>
        <v>#N/A</v>
      </c>
    </row>
    <row r="395" spans="6:17" x14ac:dyDescent="0.25">
      <c r="F395" s="1" t="str">
        <f t="shared" si="12"/>
        <v/>
      </c>
      <c r="G395" s="1" t="str">
        <f>IFERROR(IF(INDEX('[1]RTO Register'!AP$2:AP$698,MATCH($A395,'[1]RTO Register'!$AA$2:$AA$698,0))="Yes","School",""),"")</f>
        <v/>
      </c>
      <c r="H395" s="6" t="e">
        <f>INDEX('[1]RTO Register'!K$2:K$698,MATCH($A395,'[1]RTO Register'!$AA$2:$AA$698,0))</f>
        <v>#N/A</v>
      </c>
      <c r="I395" s="6" t="e">
        <f>INDEX('[1]RTO Register'!L$2:L$698,MATCH($A395,'[1]RTO Register'!$AA$2:$AA$698,0))</f>
        <v>#N/A</v>
      </c>
      <c r="J395" s="6" t="e">
        <f>INDEX('[1]RTO Register'!M$2:M$698,MATCH($A395,'[1]RTO Register'!$AA$2:$AA$698,0))</f>
        <v>#N/A</v>
      </c>
      <c r="K395" s="6" t="e">
        <f>INDEX('[1]RTO Register'!N$2:N$698,MATCH($A395,'[1]RTO Register'!$AA$2:$AA$698,0))</f>
        <v>#N/A</v>
      </c>
      <c r="L395" s="6" t="e">
        <f>INDEX('[1]RTO Register'!O$2:O$698,MATCH($A395,'[1]RTO Register'!$AA$2:$AA$698,0))</f>
        <v>#N/A</v>
      </c>
      <c r="M395" s="6" t="e">
        <f>INDEX('[1]RTO Register'!P$2:P$698,MATCH($A395,'[1]RTO Register'!$AA$2:$AA$698,0))</f>
        <v>#N/A</v>
      </c>
      <c r="N395" s="6" t="e">
        <f>INDEX('[1]RTO Register'!Q$2:Q$698,MATCH($A395,'[1]RTO Register'!$AA$2:$AA$698,0))</f>
        <v>#N/A</v>
      </c>
      <c r="O395" s="6" t="e">
        <f>INDEX('[1]RTO Register'!R$2:R$698,MATCH($A395,'[1]RTO Register'!$AA$2:$AA$698,0))</f>
        <v>#N/A</v>
      </c>
      <c r="P395" s="6" t="e">
        <f>INDEX('[1]RTO Register'!S$2:S$698,MATCH($A395,'[1]RTO Register'!$AA$2:$AA$698,0))</f>
        <v>#N/A</v>
      </c>
      <c r="Q395" s="6" t="e">
        <f t="shared" si="13"/>
        <v>#N/A</v>
      </c>
    </row>
    <row r="396" spans="6:17" x14ac:dyDescent="0.25">
      <c r="F396" s="1" t="str">
        <f t="shared" si="12"/>
        <v/>
      </c>
      <c r="G396" s="1" t="str">
        <f>IFERROR(IF(INDEX('[1]RTO Register'!AP$2:AP$698,MATCH($A396,'[1]RTO Register'!$AA$2:$AA$698,0))="Yes","School",""),"")</f>
        <v/>
      </c>
      <c r="H396" s="6" t="e">
        <f>INDEX('[1]RTO Register'!K$2:K$698,MATCH($A396,'[1]RTO Register'!$AA$2:$AA$698,0))</f>
        <v>#N/A</v>
      </c>
      <c r="I396" s="6" t="e">
        <f>INDEX('[1]RTO Register'!L$2:L$698,MATCH($A396,'[1]RTO Register'!$AA$2:$AA$698,0))</f>
        <v>#N/A</v>
      </c>
      <c r="J396" s="6" t="e">
        <f>INDEX('[1]RTO Register'!M$2:M$698,MATCH($A396,'[1]RTO Register'!$AA$2:$AA$698,0))</f>
        <v>#N/A</v>
      </c>
      <c r="K396" s="6" t="e">
        <f>INDEX('[1]RTO Register'!N$2:N$698,MATCH($A396,'[1]RTO Register'!$AA$2:$AA$698,0))</f>
        <v>#N/A</v>
      </c>
      <c r="L396" s="6" t="e">
        <f>INDEX('[1]RTO Register'!O$2:O$698,MATCH($A396,'[1]RTO Register'!$AA$2:$AA$698,0))</f>
        <v>#N/A</v>
      </c>
      <c r="M396" s="6" t="e">
        <f>INDEX('[1]RTO Register'!P$2:P$698,MATCH($A396,'[1]RTO Register'!$AA$2:$AA$698,0))</f>
        <v>#N/A</v>
      </c>
      <c r="N396" s="6" t="e">
        <f>INDEX('[1]RTO Register'!Q$2:Q$698,MATCH($A396,'[1]RTO Register'!$AA$2:$AA$698,0))</f>
        <v>#N/A</v>
      </c>
      <c r="O396" s="6" t="e">
        <f>INDEX('[1]RTO Register'!R$2:R$698,MATCH($A396,'[1]RTO Register'!$AA$2:$AA$698,0))</f>
        <v>#N/A</v>
      </c>
      <c r="P396" s="6" t="e">
        <f>INDEX('[1]RTO Register'!S$2:S$698,MATCH($A396,'[1]RTO Register'!$AA$2:$AA$698,0))</f>
        <v>#N/A</v>
      </c>
      <c r="Q396" s="6" t="e">
        <f t="shared" si="13"/>
        <v>#N/A</v>
      </c>
    </row>
    <row r="397" spans="6:17" x14ac:dyDescent="0.25">
      <c r="F397" s="1" t="str">
        <f t="shared" si="12"/>
        <v/>
      </c>
      <c r="G397" s="1" t="str">
        <f>IFERROR(IF(INDEX('[1]RTO Register'!AP$2:AP$698,MATCH($A397,'[1]RTO Register'!$AA$2:$AA$698,0))="Yes","School",""),"")</f>
        <v/>
      </c>
      <c r="H397" s="6" t="e">
        <f>INDEX('[1]RTO Register'!K$2:K$698,MATCH($A397,'[1]RTO Register'!$AA$2:$AA$698,0))</f>
        <v>#N/A</v>
      </c>
      <c r="I397" s="6" t="e">
        <f>INDEX('[1]RTO Register'!L$2:L$698,MATCH($A397,'[1]RTO Register'!$AA$2:$AA$698,0))</f>
        <v>#N/A</v>
      </c>
      <c r="J397" s="6" t="e">
        <f>INDEX('[1]RTO Register'!M$2:M$698,MATCH($A397,'[1]RTO Register'!$AA$2:$AA$698,0))</f>
        <v>#N/A</v>
      </c>
      <c r="K397" s="6" t="e">
        <f>INDEX('[1]RTO Register'!N$2:N$698,MATCH($A397,'[1]RTO Register'!$AA$2:$AA$698,0))</f>
        <v>#N/A</v>
      </c>
      <c r="L397" s="6" t="e">
        <f>INDEX('[1]RTO Register'!O$2:O$698,MATCH($A397,'[1]RTO Register'!$AA$2:$AA$698,0))</f>
        <v>#N/A</v>
      </c>
      <c r="M397" s="6" t="e">
        <f>INDEX('[1]RTO Register'!P$2:P$698,MATCH($A397,'[1]RTO Register'!$AA$2:$AA$698,0))</f>
        <v>#N/A</v>
      </c>
      <c r="N397" s="6" t="e">
        <f>INDEX('[1]RTO Register'!Q$2:Q$698,MATCH($A397,'[1]RTO Register'!$AA$2:$AA$698,0))</f>
        <v>#N/A</v>
      </c>
      <c r="O397" s="6" t="e">
        <f>INDEX('[1]RTO Register'!R$2:R$698,MATCH($A397,'[1]RTO Register'!$AA$2:$AA$698,0))</f>
        <v>#N/A</v>
      </c>
      <c r="P397" s="6" t="e">
        <f>INDEX('[1]RTO Register'!S$2:S$698,MATCH($A397,'[1]RTO Register'!$AA$2:$AA$698,0))</f>
        <v>#N/A</v>
      </c>
      <c r="Q397" s="6" t="e">
        <f t="shared" si="13"/>
        <v>#N/A</v>
      </c>
    </row>
    <row r="398" spans="6:17" x14ac:dyDescent="0.25">
      <c r="F398" s="1" t="str">
        <f t="shared" si="12"/>
        <v/>
      </c>
      <c r="G398" s="1" t="str">
        <f>IFERROR(IF(INDEX('[1]RTO Register'!AP$2:AP$698,MATCH($A398,'[1]RTO Register'!$AA$2:$AA$698,0))="Yes","School",""),"")</f>
        <v/>
      </c>
      <c r="H398" s="6" t="e">
        <f>INDEX('[1]RTO Register'!K$2:K$698,MATCH($A398,'[1]RTO Register'!$AA$2:$AA$698,0))</f>
        <v>#N/A</v>
      </c>
      <c r="I398" s="6" t="e">
        <f>INDEX('[1]RTO Register'!L$2:L$698,MATCH($A398,'[1]RTO Register'!$AA$2:$AA$698,0))</f>
        <v>#N/A</v>
      </c>
      <c r="J398" s="6" t="e">
        <f>INDEX('[1]RTO Register'!M$2:M$698,MATCH($A398,'[1]RTO Register'!$AA$2:$AA$698,0))</f>
        <v>#N/A</v>
      </c>
      <c r="K398" s="6" t="e">
        <f>INDEX('[1]RTO Register'!N$2:N$698,MATCH($A398,'[1]RTO Register'!$AA$2:$AA$698,0))</f>
        <v>#N/A</v>
      </c>
      <c r="L398" s="6" t="e">
        <f>INDEX('[1]RTO Register'!O$2:O$698,MATCH($A398,'[1]RTO Register'!$AA$2:$AA$698,0))</f>
        <v>#N/A</v>
      </c>
      <c r="M398" s="6" t="e">
        <f>INDEX('[1]RTO Register'!P$2:P$698,MATCH($A398,'[1]RTO Register'!$AA$2:$AA$698,0))</f>
        <v>#N/A</v>
      </c>
      <c r="N398" s="6" t="e">
        <f>INDEX('[1]RTO Register'!Q$2:Q$698,MATCH($A398,'[1]RTO Register'!$AA$2:$AA$698,0))</f>
        <v>#N/A</v>
      </c>
      <c r="O398" s="6" t="e">
        <f>INDEX('[1]RTO Register'!R$2:R$698,MATCH($A398,'[1]RTO Register'!$AA$2:$AA$698,0))</f>
        <v>#N/A</v>
      </c>
      <c r="P398" s="6" t="e">
        <f>INDEX('[1]RTO Register'!S$2:S$698,MATCH($A398,'[1]RTO Register'!$AA$2:$AA$698,0))</f>
        <v>#N/A</v>
      </c>
      <c r="Q398" s="6" t="e">
        <f t="shared" si="13"/>
        <v>#N/A</v>
      </c>
    </row>
    <row r="399" spans="6:17" x14ac:dyDescent="0.25">
      <c r="F399" s="1" t="str">
        <f t="shared" si="12"/>
        <v/>
      </c>
      <c r="G399" s="1" t="str">
        <f>IFERROR(IF(INDEX('[1]RTO Register'!AP$2:AP$698,MATCH($A399,'[1]RTO Register'!$AA$2:$AA$698,0))="Yes","School",""),"")</f>
        <v/>
      </c>
      <c r="H399" s="6" t="e">
        <f>INDEX('[1]RTO Register'!K$2:K$698,MATCH($A399,'[1]RTO Register'!$AA$2:$AA$698,0))</f>
        <v>#N/A</v>
      </c>
      <c r="I399" s="6" t="e">
        <f>INDEX('[1]RTO Register'!L$2:L$698,MATCH($A399,'[1]RTO Register'!$AA$2:$AA$698,0))</f>
        <v>#N/A</v>
      </c>
      <c r="J399" s="6" t="e">
        <f>INDEX('[1]RTO Register'!M$2:M$698,MATCH($A399,'[1]RTO Register'!$AA$2:$AA$698,0))</f>
        <v>#N/A</v>
      </c>
      <c r="K399" s="6" t="e">
        <f>INDEX('[1]RTO Register'!N$2:N$698,MATCH($A399,'[1]RTO Register'!$AA$2:$AA$698,0))</f>
        <v>#N/A</v>
      </c>
      <c r="L399" s="6" t="e">
        <f>INDEX('[1]RTO Register'!O$2:O$698,MATCH($A399,'[1]RTO Register'!$AA$2:$AA$698,0))</f>
        <v>#N/A</v>
      </c>
      <c r="M399" s="6" t="e">
        <f>INDEX('[1]RTO Register'!P$2:P$698,MATCH($A399,'[1]RTO Register'!$AA$2:$AA$698,0))</f>
        <v>#N/A</v>
      </c>
      <c r="N399" s="6" t="e">
        <f>INDEX('[1]RTO Register'!Q$2:Q$698,MATCH($A399,'[1]RTO Register'!$AA$2:$AA$698,0))</f>
        <v>#N/A</v>
      </c>
      <c r="O399" s="6" t="e">
        <f>INDEX('[1]RTO Register'!R$2:R$698,MATCH($A399,'[1]RTO Register'!$AA$2:$AA$698,0))</f>
        <v>#N/A</v>
      </c>
      <c r="P399" s="6" t="e">
        <f>INDEX('[1]RTO Register'!S$2:S$698,MATCH($A399,'[1]RTO Register'!$AA$2:$AA$698,0))</f>
        <v>#N/A</v>
      </c>
      <c r="Q399" s="6" t="e">
        <f t="shared" si="13"/>
        <v>#N/A</v>
      </c>
    </row>
    <row r="400" spans="6:17" x14ac:dyDescent="0.25">
      <c r="F400" s="1" t="str">
        <f t="shared" si="12"/>
        <v/>
      </c>
      <c r="G400" s="1" t="str">
        <f>IFERROR(IF(INDEX('[1]RTO Register'!AP$2:AP$698,MATCH($A400,'[1]RTO Register'!$AA$2:$AA$698,0))="Yes","School",""),"")</f>
        <v/>
      </c>
      <c r="H400" s="6" t="e">
        <f>INDEX('[1]RTO Register'!K$2:K$698,MATCH($A400,'[1]RTO Register'!$AA$2:$AA$698,0))</f>
        <v>#N/A</v>
      </c>
      <c r="I400" s="6" t="e">
        <f>INDEX('[1]RTO Register'!L$2:L$698,MATCH($A400,'[1]RTO Register'!$AA$2:$AA$698,0))</f>
        <v>#N/A</v>
      </c>
      <c r="J400" s="6" t="e">
        <f>INDEX('[1]RTO Register'!M$2:M$698,MATCH($A400,'[1]RTO Register'!$AA$2:$AA$698,0))</f>
        <v>#N/A</v>
      </c>
      <c r="K400" s="6" t="e">
        <f>INDEX('[1]RTO Register'!N$2:N$698,MATCH($A400,'[1]RTO Register'!$AA$2:$AA$698,0))</f>
        <v>#N/A</v>
      </c>
      <c r="L400" s="6" t="e">
        <f>INDEX('[1]RTO Register'!O$2:O$698,MATCH($A400,'[1]RTO Register'!$AA$2:$AA$698,0))</f>
        <v>#N/A</v>
      </c>
      <c r="M400" s="6" t="e">
        <f>INDEX('[1]RTO Register'!P$2:P$698,MATCH($A400,'[1]RTO Register'!$AA$2:$AA$698,0))</f>
        <v>#N/A</v>
      </c>
      <c r="N400" s="6" t="e">
        <f>INDEX('[1]RTO Register'!Q$2:Q$698,MATCH($A400,'[1]RTO Register'!$AA$2:$AA$698,0))</f>
        <v>#N/A</v>
      </c>
      <c r="O400" s="6" t="e">
        <f>INDEX('[1]RTO Register'!R$2:R$698,MATCH($A400,'[1]RTO Register'!$AA$2:$AA$698,0))</f>
        <v>#N/A</v>
      </c>
      <c r="P400" s="6" t="e">
        <f>INDEX('[1]RTO Register'!S$2:S$698,MATCH($A400,'[1]RTO Register'!$AA$2:$AA$698,0))</f>
        <v>#N/A</v>
      </c>
      <c r="Q400" s="6" t="e">
        <f t="shared" si="13"/>
        <v>#N/A</v>
      </c>
    </row>
  </sheetData>
  <conditionalFormatting sqref="A2">
    <cfRule type="duplicateValues" dxfId="0" priority="1"/>
  </conditionalFormatting>
  <hyperlinks>
    <hyperlink ref="E3" r:id="rId1" xr:uid="{B256F07C-AEA7-4A76-8EF9-822B8047820C}"/>
    <hyperlink ref="E4" r:id="rId2" xr:uid="{AAF16038-0472-4F07-98C4-179BA518E0C1}"/>
    <hyperlink ref="E5" r:id="rId3" xr:uid="{527A0776-D80F-4616-BA31-171E3C4EB5B4}"/>
    <hyperlink ref="E6" r:id="rId4" xr:uid="{4B35872C-C62F-40B9-AB4F-BF8668D93F94}"/>
    <hyperlink ref="E7" r:id="rId5" xr:uid="{BBF0C137-ABB8-4463-95E1-D843EF85F462}"/>
    <hyperlink ref="E8" r:id="rId6" xr:uid="{90C06C39-4196-4A2F-B496-03232CDFFBDF}"/>
    <hyperlink ref="E9" r:id="rId7" xr:uid="{4CD245FC-499D-49D4-87CD-F454EE344D8C}"/>
    <hyperlink ref="E10" r:id="rId8" xr:uid="{00BE38CE-AB41-4205-B45B-7783B63C7BC3}"/>
    <hyperlink ref="E11" r:id="rId9" xr:uid="{5500582F-0E57-4314-8909-A946428FF104}"/>
    <hyperlink ref="E12" r:id="rId10" xr:uid="{60C9A829-134D-4060-B48D-E5515D5B93C9}"/>
    <hyperlink ref="E13" r:id="rId11" xr:uid="{B6C0D780-772A-4FF0-AA1F-8FFC72CDEF25}"/>
    <hyperlink ref="E14" r:id="rId12" xr:uid="{89D59D16-FFDC-44A6-AC8F-353AC31191F3}"/>
    <hyperlink ref="E15" r:id="rId13" xr:uid="{E4E1D5F6-46D3-477D-9C3A-885825B15B75}"/>
    <hyperlink ref="E16" r:id="rId14" xr:uid="{BC93DB49-0E37-4AB4-838F-0AC967536246}"/>
    <hyperlink ref="E17" r:id="rId15" xr:uid="{1230EF1F-2DBA-4C95-9580-11667D47DD68}"/>
    <hyperlink ref="E18" r:id="rId16" xr:uid="{A1B91564-CA8A-4DCB-AB1C-E45B0491FDCE}"/>
    <hyperlink ref="E19" r:id="rId17" xr:uid="{33442B7A-07D3-445E-8457-AE8CF4F563E6}"/>
    <hyperlink ref="E20" r:id="rId18" xr:uid="{A7BB3F7E-3727-4F37-B6E5-46E285742AD9}"/>
    <hyperlink ref="E21" r:id="rId19" xr:uid="{F88C442E-7CEB-43D3-8AA5-61ADC8C4B195}"/>
    <hyperlink ref="E22" r:id="rId20" xr:uid="{43D9E9BE-C494-4A11-8D9B-0AF705A5EC03}"/>
    <hyperlink ref="E23" r:id="rId21" xr:uid="{99E8ED7F-C7B1-4BCB-85F3-138421604A2E}"/>
    <hyperlink ref="E24" r:id="rId22" xr:uid="{5F197625-C94A-45F8-B9BE-EAE2B8F0873C}"/>
    <hyperlink ref="E25" r:id="rId23" xr:uid="{4A233AB3-A646-46D3-AFE7-024578C56206}"/>
    <hyperlink ref="E26" r:id="rId24" xr:uid="{7E4EAFC8-D344-4F48-9CE3-B286D77DF376}"/>
    <hyperlink ref="E27" r:id="rId25" xr:uid="{05456FFE-B161-435B-BE79-A3E80B5CDCBA}"/>
    <hyperlink ref="E28" r:id="rId26" xr:uid="{3DE8AE19-8815-4170-825F-1A6121DDA38C}"/>
    <hyperlink ref="E29" r:id="rId27" xr:uid="{0EBB3621-D872-4074-8751-28E298BFE56A}"/>
    <hyperlink ref="E30" r:id="rId28" xr:uid="{AEB5616A-1008-43BC-9600-F81C47565EF5}"/>
    <hyperlink ref="E31" r:id="rId29" xr:uid="{E09D0FB6-6B11-44C1-965A-2E71B18638EF}"/>
    <hyperlink ref="E32" r:id="rId30" xr:uid="{6ED2060C-0A2A-4728-8D7E-39D081301F5B}"/>
    <hyperlink ref="E33" r:id="rId31" xr:uid="{C131A05D-B87C-4C63-B842-926E2588B372}"/>
    <hyperlink ref="E34" r:id="rId32" xr:uid="{C36F924F-6295-45CB-9022-8A5CD638CA0D}"/>
    <hyperlink ref="E35" r:id="rId33" xr:uid="{DD93726C-E493-42C8-9D1B-CEE9ECB89B70}"/>
    <hyperlink ref="E36" r:id="rId34" xr:uid="{FBCCE999-27B0-4AC4-808A-595F1B2D92FE}"/>
    <hyperlink ref="E37" r:id="rId35" xr:uid="{2F03E89A-4A64-499F-8D74-4B3C76379579}"/>
    <hyperlink ref="E39" r:id="rId36" xr:uid="{C8DD3809-11DC-4884-82FD-E10B8AD16610}"/>
    <hyperlink ref="E40" r:id="rId37" xr:uid="{14C0442B-D457-467B-A771-B1C97E942144}"/>
    <hyperlink ref="E41" r:id="rId38" xr:uid="{EF8760BF-CCBA-4A50-AFD3-FAFC9E085565}"/>
    <hyperlink ref="E43" r:id="rId39" xr:uid="{744B20AE-B986-430F-B3CF-FB09C8CCA349}"/>
    <hyperlink ref="E45" r:id="rId40" xr:uid="{7D687961-CD81-4CF9-AE39-23B86220A92A}"/>
    <hyperlink ref="E47" r:id="rId41" xr:uid="{C1A3DA6C-EAE4-476A-8374-C585533E02BA}"/>
    <hyperlink ref="E49" r:id="rId42" xr:uid="{48B0D694-55B9-4CEC-9436-1DDD9402E0AF}"/>
    <hyperlink ref="E51" r:id="rId43" xr:uid="{8ABF76C5-B6C3-494A-8B7A-9FD48F3BC942}"/>
    <hyperlink ref="E53" r:id="rId44" xr:uid="{30869131-E09B-4CB3-A369-826DD47A6E3C}"/>
    <hyperlink ref="E55" r:id="rId45" xr:uid="{7044D677-9991-4092-AF1A-382157961B46}"/>
    <hyperlink ref="E57" r:id="rId46" xr:uid="{D41A1674-A657-40A2-B0B8-A5F7295F6BAB}"/>
    <hyperlink ref="E58" r:id="rId47" xr:uid="{54DA5CC6-0DCA-4D56-B178-E230EC4BDF55}"/>
    <hyperlink ref="E60" r:id="rId48" xr:uid="{B745EC73-7656-4EE8-9062-B557E9E8A40A}"/>
    <hyperlink ref="E38" r:id="rId49" xr:uid="{CDDB724A-F233-460F-8CF3-D4CE15755563}"/>
    <hyperlink ref="E42" r:id="rId50" xr:uid="{F409B69B-C45B-48EC-958A-43D16A861DEF}"/>
    <hyperlink ref="E44" r:id="rId51" xr:uid="{A07075F3-21C2-4AAC-BB24-AF06DD1AE8CC}"/>
    <hyperlink ref="E46" r:id="rId52" xr:uid="{AF855AC9-ECAD-4A6E-A502-AE63F5154275}"/>
    <hyperlink ref="E48" r:id="rId53" xr:uid="{E5A8E052-9641-4083-99E3-7586DD317534}"/>
    <hyperlink ref="E50" r:id="rId54" xr:uid="{75CE8259-67CA-4564-9427-97752D155857}"/>
    <hyperlink ref="E52" r:id="rId55" xr:uid="{AC3CF0E5-2743-4DE9-B236-27F6D7DF6FF5}"/>
    <hyperlink ref="E54" r:id="rId56" xr:uid="{40F903B6-392A-489D-80B2-84F20A445B2F}"/>
    <hyperlink ref="E56" r:id="rId57" xr:uid="{CFA2BFD8-1873-47EC-BAD0-05EE1BC1917D}"/>
    <hyperlink ref="E59" r:id="rId58" xr:uid="{7778FB38-CC5E-48CF-B627-95DFC774B099}"/>
    <hyperlink ref="E61" r:id="rId59" xr:uid="{38611472-2D33-4039-A6F3-0AFB900425E6}"/>
    <hyperlink ref="E62" r:id="rId60" xr:uid="{443C74CB-8142-423A-85FB-B644D8795242}"/>
    <hyperlink ref="E64" r:id="rId61" xr:uid="{F580BE6F-9349-415F-95B9-AE279120A37A}"/>
    <hyperlink ref="E63" r:id="rId62" xr:uid="{9CCFAB53-9F2E-487C-9672-29C452326C0C}"/>
    <hyperlink ref="E65" r:id="rId63" xr:uid="{A21AC93B-46E3-4B33-8E6E-4E1D38532293}"/>
    <hyperlink ref="E66" r:id="rId64" xr:uid="{3928E4ED-9A1D-43F0-AEA4-6CAA234DD143}"/>
    <hyperlink ref="E67" r:id="rId65" xr:uid="{402A5A55-5C10-4DE8-B208-6DFCC6AC3C4F}"/>
    <hyperlink ref="E68" r:id="rId66" xr:uid="{DF4FA179-20F1-4779-B859-80E53D05B9B4}"/>
    <hyperlink ref="E69" r:id="rId67" xr:uid="{D2A1B42E-077F-4495-B05F-97B80A85E564}"/>
    <hyperlink ref="E70" r:id="rId68" xr:uid="{27866499-3256-438F-B1E4-59F9E9A3017F}"/>
    <hyperlink ref="E71" r:id="rId69" xr:uid="{D5B072AF-2E6D-4481-AE11-193492BD5C10}"/>
    <hyperlink ref="E72" r:id="rId70" xr:uid="{281ABA1E-23AF-4395-BFFD-8AAF39FA7FF7}"/>
    <hyperlink ref="E73" r:id="rId71" xr:uid="{EED6D217-C722-4FE0-B5FC-9A96D5F0C950}"/>
    <hyperlink ref="E74" r:id="rId72" xr:uid="{7F892983-8EC0-4A52-8CC6-9BDA818B9EA9}"/>
    <hyperlink ref="E75" r:id="rId73" xr:uid="{45AD8805-3150-4683-A014-DDD98CCF36BB}"/>
    <hyperlink ref="E76" r:id="rId74" xr:uid="{9BF2EE38-F52A-4E0D-B742-98E19D11399F}"/>
    <hyperlink ref="E77" r:id="rId75" xr:uid="{677BD4B0-D481-4C8B-AB3B-0D9B445CF3D0}"/>
    <hyperlink ref="E78" r:id="rId76" xr:uid="{031AFD0B-EFD9-4AA0-BFB8-3E1339F03DE2}"/>
    <hyperlink ref="E79" r:id="rId77" xr:uid="{C23CCB95-6030-42B1-A6C0-B8362D7DE101}"/>
    <hyperlink ref="E80" r:id="rId78" xr:uid="{28199110-C9FC-4796-B69E-90759B2DC273}"/>
    <hyperlink ref="E81" r:id="rId79" xr:uid="{03AFD5E9-8C38-4A33-BC62-4FC8C66B6A06}"/>
    <hyperlink ref="E82" r:id="rId80" xr:uid="{219D4F07-CA3A-423B-8E2A-AD3C285EB1B8}"/>
    <hyperlink ref="E83" r:id="rId81" xr:uid="{D52B9017-8788-4CDA-872A-5108F614407F}"/>
    <hyperlink ref="E84" r:id="rId82" xr:uid="{41094294-7745-4BD5-8645-DF197C3C8A3E}"/>
    <hyperlink ref="E85" r:id="rId83" xr:uid="{12E39789-5049-4D0B-932C-013C08A97710}"/>
    <hyperlink ref="E86" r:id="rId84" xr:uid="{249EC8F3-EB2B-4841-AA98-CBDC7BB3A38C}"/>
    <hyperlink ref="E87" r:id="rId85" xr:uid="{2302B04E-E5B2-4818-BB96-E4F1DB766B1C}"/>
    <hyperlink ref="E88" r:id="rId86" xr:uid="{BD23B689-1927-4B66-860A-B612D7072A43}"/>
    <hyperlink ref="E89" r:id="rId87" xr:uid="{C56A35B3-0BE7-4FFA-9439-0C65B9C2C71C}"/>
    <hyperlink ref="E90" r:id="rId88" xr:uid="{07490F8E-B383-45D5-A7CB-983FEE8D6919}"/>
    <hyperlink ref="E91" r:id="rId89" xr:uid="{2ADD9C83-E89C-42D4-ACB2-6228B21741D8}"/>
    <hyperlink ref="E92" r:id="rId90" xr:uid="{CCE21CE2-AD6C-485B-879E-CCA3951ABAE7}"/>
    <hyperlink ref="E93" r:id="rId91" xr:uid="{680796B7-5674-40CF-BA57-7A76F388EF46}"/>
    <hyperlink ref="E94" r:id="rId92" xr:uid="{275C6180-0478-4EB9-831E-640260BE0C75}"/>
    <hyperlink ref="E95" r:id="rId93" xr:uid="{74D93635-AB65-4B12-BE9A-F2A953593FFC}"/>
    <hyperlink ref="E96" r:id="rId94" xr:uid="{6B374EDC-9C9B-4A0D-8CB8-A183E699D565}"/>
    <hyperlink ref="E97" r:id="rId95" xr:uid="{616DFBDB-FFDB-44B2-8162-7A33B98F40EE}"/>
    <hyperlink ref="E98" r:id="rId96" xr:uid="{3810A42D-1578-4768-AEC0-6955A75E63E9}"/>
    <hyperlink ref="E99" r:id="rId97" xr:uid="{1EF904C2-3BF8-479C-8407-A20A9D8D024B}"/>
    <hyperlink ref="E100" r:id="rId98" xr:uid="{7480FFBF-95A0-495C-B532-8FF25C7727EB}"/>
    <hyperlink ref="E101" r:id="rId99" xr:uid="{810BCF08-5878-4AF2-A43C-6C25DA272A68}"/>
    <hyperlink ref="E102" r:id="rId100" xr:uid="{39E4D1E7-D2BC-4C8C-9F6D-839CB7414A7A}"/>
    <hyperlink ref="E103" r:id="rId101" xr:uid="{1DD7A404-B3AE-493B-B655-1B7D36FB0788}"/>
    <hyperlink ref="E104" r:id="rId102" xr:uid="{D0400D71-614A-4167-B450-90A52D15F045}"/>
    <hyperlink ref="E105" r:id="rId103" xr:uid="{173DBF70-2B2A-4877-A3EA-5E4D572A2E28}"/>
    <hyperlink ref="E106" r:id="rId104" xr:uid="{A5CC90C9-1E89-406C-91AB-9EED567FDDA7}"/>
    <hyperlink ref="E107" r:id="rId105" xr:uid="{6AC93958-9FAE-4D3B-B1A5-FFED251BAE35}"/>
    <hyperlink ref="E108" r:id="rId106" xr:uid="{07686821-5687-4695-BC96-4EE22DC1AEB5}"/>
    <hyperlink ref="E109" r:id="rId107" xr:uid="{E2D3DFC2-9A62-4493-9ECE-1A4058384D4E}"/>
    <hyperlink ref="E110" r:id="rId108" xr:uid="{9E354F7E-05BA-4E13-8257-F79A45825723}"/>
    <hyperlink ref="E111" r:id="rId109" xr:uid="{14E555D9-6092-430E-8786-E76138BA9AC6}"/>
    <hyperlink ref="E112" r:id="rId110" xr:uid="{93AE9182-2F21-4321-BE2C-8BF8467D1A56}"/>
    <hyperlink ref="E113" r:id="rId111" xr:uid="{DA79DAAA-D290-4921-83C0-EA0CBB7AB627}"/>
    <hyperlink ref="E114" r:id="rId112" xr:uid="{63B3ED13-A92E-42C2-B0A0-63C144E2F5D9}"/>
    <hyperlink ref="E115" r:id="rId113" xr:uid="{E11C57A4-1BA1-4C82-A1C5-4F4472E502FB}"/>
    <hyperlink ref="E116" r:id="rId114" xr:uid="{AE05890E-7D21-4B3D-A229-929A20C08C87}"/>
    <hyperlink ref="E117" r:id="rId115" xr:uid="{2ECA1746-BC69-4184-9386-FDC27ABB5286}"/>
    <hyperlink ref="E118" r:id="rId116" xr:uid="{98837CDF-9113-441C-85BF-4E879A215F98}"/>
    <hyperlink ref="E119" r:id="rId117" xr:uid="{21E689CF-214C-4979-9D92-332C59D3A8A8}"/>
    <hyperlink ref="E120" r:id="rId118" xr:uid="{E154224B-937F-45D1-AD97-73002B4ECEBF}"/>
    <hyperlink ref="E121" r:id="rId119" xr:uid="{F9992CFA-ED26-48A2-AA6A-89A18C24F8E1}"/>
    <hyperlink ref="E122" r:id="rId120" xr:uid="{03A3BF30-02CA-4A45-B2F5-F96865DF3A25}"/>
    <hyperlink ref="E123" r:id="rId121" xr:uid="{9FBDD667-FF85-42F6-8424-3BCE75ECF8DD}"/>
    <hyperlink ref="E124" r:id="rId122" xr:uid="{6354AC0A-0914-4895-BB19-5FC4B8948103}"/>
    <hyperlink ref="E125" r:id="rId123" xr:uid="{382FC683-2276-4FD7-A74F-EA07D246CC98}"/>
    <hyperlink ref="E126" r:id="rId124" xr:uid="{0BEB3662-942D-45BC-B0E3-7149C71A9CC7}"/>
    <hyperlink ref="E127" r:id="rId125" xr:uid="{2CBF3B27-A080-4B5C-9B58-835ED835AA65}"/>
    <hyperlink ref="E128" r:id="rId126" xr:uid="{1BDA8FFF-6B8E-4576-9D45-EEE953DD71A4}"/>
    <hyperlink ref="E129" r:id="rId127" xr:uid="{8A68D71F-46A8-4F13-85AA-15DFFF607121}"/>
    <hyperlink ref="E130" r:id="rId128" xr:uid="{CD800AE2-5761-48CD-9559-EF9DC4F83027}"/>
    <hyperlink ref="E131" r:id="rId129" xr:uid="{4518AF4B-9319-413F-962A-BC60B0422AB9}"/>
    <hyperlink ref="E132" r:id="rId130" xr:uid="{8BF4B5DC-E0BB-4D37-8894-3FE49CC60F46}"/>
    <hyperlink ref="E133" r:id="rId131" xr:uid="{10768CE7-C03D-41B4-B321-625AB044F3B3}"/>
    <hyperlink ref="E134" r:id="rId132" xr:uid="{0D179EA6-5E5C-49D7-BC3C-00BF0CF5D1A8}"/>
    <hyperlink ref="E135" r:id="rId133" xr:uid="{A353CBFF-3EE3-45F4-850E-38138570BC49}"/>
    <hyperlink ref="E136" r:id="rId134" xr:uid="{A71A811B-7E04-41CF-A4A6-BF0BF895AE99}"/>
    <hyperlink ref="E137" r:id="rId135" xr:uid="{5D0CF70E-912C-4EC0-8F5C-F242910A8F78}"/>
    <hyperlink ref="E138" r:id="rId136" xr:uid="{F04FF8E5-E6CE-4A49-A006-04D9E7A43173}"/>
    <hyperlink ref="E139" r:id="rId137" xr:uid="{65ED308B-BC1B-41C8-9AD9-91C9161DE5ED}"/>
    <hyperlink ref="E140" r:id="rId138" xr:uid="{7E03D2AA-1E19-4CFF-ADDD-49C693A891C8}"/>
    <hyperlink ref="E141" r:id="rId139" xr:uid="{EDC3D441-79F6-4969-AF2E-039D0B4253C4}"/>
    <hyperlink ref="E142" r:id="rId140" xr:uid="{4C888E7A-3A37-4229-B50C-B285E4AF95CE}"/>
    <hyperlink ref="E143" r:id="rId141" xr:uid="{F5C81186-050F-43F6-A7DC-865BC3A399CD}"/>
    <hyperlink ref="E144" r:id="rId142" xr:uid="{46671CCB-27CC-4310-B2AC-1A8E3BED2AE5}"/>
    <hyperlink ref="E145" r:id="rId143" xr:uid="{40A80D57-5783-46A6-825A-603FCF2B2EF2}"/>
    <hyperlink ref="E146" r:id="rId144" xr:uid="{9D753468-0167-4D45-A7BB-548961F927DB}"/>
    <hyperlink ref="E147" r:id="rId145" xr:uid="{8A6C6911-7AC3-4208-BAB8-C36C1F668371}"/>
    <hyperlink ref="E148" r:id="rId146" xr:uid="{3F17C542-BFFC-4653-AC68-993767DB906F}"/>
    <hyperlink ref="E149" r:id="rId147" xr:uid="{78B7B209-8342-46BD-A3BC-876BFE99F6D0}"/>
    <hyperlink ref="E150" r:id="rId148" xr:uid="{BAA95326-EA87-4742-8AAD-9B0701A827AB}"/>
    <hyperlink ref="E151" r:id="rId149" xr:uid="{8478FBFE-ED96-42FD-8751-722E34D8BA60}"/>
    <hyperlink ref="E152" r:id="rId150" xr:uid="{13B63CF6-F65A-48FE-BEB9-4314C9B6042E}"/>
    <hyperlink ref="E153" r:id="rId151" xr:uid="{2F1A7CC5-43FA-4F5F-B49E-651E707F79A5}"/>
    <hyperlink ref="E154" r:id="rId152" xr:uid="{A035A38C-054F-44F8-82CE-257AF51938D5}"/>
    <hyperlink ref="E155" r:id="rId153" xr:uid="{28C1B290-2E60-4A67-9EE7-311D13C09565}"/>
    <hyperlink ref="E156" r:id="rId154" xr:uid="{7334622D-1280-4490-B517-B3410AA4672C}"/>
    <hyperlink ref="E157" r:id="rId155" xr:uid="{D11393AC-92A7-4F1F-938D-5E4B4ADFDBB6}"/>
    <hyperlink ref="E158" r:id="rId156" xr:uid="{F3C6F6E2-9CF5-4781-B61E-AF3B04DDB918}"/>
    <hyperlink ref="E159" r:id="rId157" xr:uid="{234357B7-F186-41E3-AE3F-A9ED08038FB8}"/>
    <hyperlink ref="E160" r:id="rId158" xr:uid="{9FDE0B51-0442-4BA1-8C1A-2AC5222552E4}"/>
    <hyperlink ref="E161" r:id="rId159" xr:uid="{A6005385-DFE2-470B-946C-7A254E7E45BE}"/>
    <hyperlink ref="E162" r:id="rId160" xr:uid="{97095691-BD64-4183-A358-FC48AAB4DFCF}"/>
    <hyperlink ref="E163" r:id="rId161" xr:uid="{B32D7B09-CB81-4375-8C64-414316F1A280}"/>
    <hyperlink ref="E164" r:id="rId162" xr:uid="{385E40C6-4029-48C5-BACC-80CC2FB2C4C8}"/>
    <hyperlink ref="E165" r:id="rId163" xr:uid="{83A65DE4-FF06-47E7-9AFE-8E34A455BE77}"/>
    <hyperlink ref="E166" r:id="rId164" xr:uid="{EACF7658-9B5C-46AD-A67A-CF23763363CC}"/>
    <hyperlink ref="E167" r:id="rId165" xr:uid="{CD1BE0B8-7BD2-40A1-91D1-C1EF31608882}"/>
    <hyperlink ref="E168" r:id="rId166" xr:uid="{32241EC3-E621-4F98-B57A-540EBED8A5F9}"/>
    <hyperlink ref="E169" r:id="rId167" xr:uid="{46327D8F-B6FB-4A6C-9BFE-04C4FDDA1F19}"/>
    <hyperlink ref="E170" r:id="rId168" xr:uid="{0123EDA9-6EAF-4673-9A17-39DB8031DF03}"/>
    <hyperlink ref="E171" r:id="rId169" xr:uid="{CDA30965-FCFD-4F94-92DA-D1C8279796CF}"/>
    <hyperlink ref="E172" r:id="rId170" xr:uid="{A73EE12C-AC61-4C01-9A80-97A8A93CBA79}"/>
    <hyperlink ref="E173" r:id="rId171" xr:uid="{DED4CB2A-14C9-4AA9-84E5-32DC660F2CBD}"/>
    <hyperlink ref="E174" r:id="rId172" xr:uid="{9D2105F1-FA00-4671-9AD4-2FA630B1C05A}"/>
    <hyperlink ref="E175" r:id="rId173" xr:uid="{57D5766E-7424-4886-A327-37CB8E453E52}"/>
    <hyperlink ref="E176" r:id="rId174" xr:uid="{E4FE9B46-07E3-4D1A-BF61-AB01C266F936}"/>
    <hyperlink ref="E177" r:id="rId175" xr:uid="{61B7104C-3FE1-415B-9EDA-AC3FD96230F5}"/>
    <hyperlink ref="E178" r:id="rId176" xr:uid="{20B7F74E-9D82-4B17-95B4-7C136FBF052F}"/>
    <hyperlink ref="E179" r:id="rId177" xr:uid="{1E59FABB-98FE-4075-A7B9-E057FA52DB71}"/>
    <hyperlink ref="E180" r:id="rId178" xr:uid="{8F94764E-68B7-451F-A1B7-15A8A2549925}"/>
    <hyperlink ref="E181" r:id="rId179" xr:uid="{DDA60C04-D164-44C2-8A93-8FF26AE57B0B}"/>
    <hyperlink ref="E182" r:id="rId180" xr:uid="{47FD485A-2563-4D0B-B586-A5110EB90B8F}"/>
    <hyperlink ref="E183" r:id="rId181" xr:uid="{97F35729-1BDA-41C9-9BE4-CE67FB71BB1B}"/>
    <hyperlink ref="E184" r:id="rId182" xr:uid="{DDF52C9E-7990-4416-B58E-F4029376276A}"/>
    <hyperlink ref="E185" r:id="rId183" xr:uid="{A2FC4DBE-70FB-4ED1-868B-161DE2C25D39}"/>
    <hyperlink ref="E186" r:id="rId184" xr:uid="{24A10F34-730B-414B-B461-8006363A34F3}"/>
    <hyperlink ref="E187" r:id="rId185" xr:uid="{E6A95262-1A6D-44F2-84CA-9A53845C492D}"/>
    <hyperlink ref="E188" r:id="rId186" xr:uid="{E131F743-A3D6-401C-8C11-B7A68ABC3C50}"/>
    <hyperlink ref="E189" r:id="rId187" xr:uid="{F063A195-AD75-4169-991D-B6F3622555D3}"/>
    <hyperlink ref="E191" r:id="rId188" xr:uid="{273D6177-A0C3-4E36-9020-CABAC4B7EDD5}"/>
    <hyperlink ref="E192" r:id="rId189" xr:uid="{8331B088-1DB4-4853-B8FD-182396B8F7CC}"/>
    <hyperlink ref="E190" r:id="rId190" xr:uid="{3EAC4889-89BA-4B37-B2FC-AE0E123D47B6}"/>
    <hyperlink ref="E193" r:id="rId191" xr:uid="{79D9FFC5-AA2D-4D08-A111-00074CBE2086}"/>
    <hyperlink ref="E194" r:id="rId192" xr:uid="{2EC6A089-DD3F-4D02-AE5C-EDBF1A8F1395}"/>
    <hyperlink ref="E195" r:id="rId193" xr:uid="{DB0BF410-3E86-4C86-A3B0-3144169E3216}"/>
    <hyperlink ref="E196" r:id="rId194" xr:uid="{32E7B27A-D54C-409B-8CA4-0696A4D4CF9C}"/>
    <hyperlink ref="E197" r:id="rId195" xr:uid="{2F413723-F49B-4D39-AE19-2B1DE1ABF709}"/>
    <hyperlink ref="E198" r:id="rId196" xr:uid="{E9F549E8-D88E-4E07-B809-A4A3B6672830}"/>
    <hyperlink ref="E199" r:id="rId197" xr:uid="{089CE5EC-43C7-4620-920A-6B2ADF4159AD}"/>
    <hyperlink ref="E200" r:id="rId198" xr:uid="{94987B94-28CD-4DBC-9500-DB85383F9991}"/>
    <hyperlink ref="E201" r:id="rId199" xr:uid="{221BAFE9-2196-41FF-8AE7-39D9B72D250C}"/>
    <hyperlink ref="E202" r:id="rId200" xr:uid="{FF2B9B72-26B8-4496-A08E-2927BCB3520E}"/>
    <hyperlink ref="E203" r:id="rId201" xr:uid="{9A7157FC-3B61-42FE-BFD6-A58BA492ACF3}"/>
    <hyperlink ref="E204" r:id="rId202" xr:uid="{E91ADFDE-2CF6-452F-970B-32E6FB21D990}"/>
    <hyperlink ref="E205" r:id="rId203" xr:uid="{C09A1402-98C6-49E0-B994-CD5B84135011}"/>
    <hyperlink ref="E206" r:id="rId204" xr:uid="{D1C5113F-D726-46C7-B3A6-25DD73FFB3A4}"/>
    <hyperlink ref="E207" r:id="rId205" xr:uid="{70442F3D-2769-4BC5-B893-16799B252BB1}"/>
    <hyperlink ref="E208" r:id="rId206" xr:uid="{DB53F856-53A4-4A0C-9997-26FE6DAAFF9B}"/>
    <hyperlink ref="E209" r:id="rId207" xr:uid="{BE047EF8-EDAD-4A50-A46B-0EDAC2594CA4}"/>
    <hyperlink ref="E210" r:id="rId208" xr:uid="{D1F44C15-1835-4D2E-A3D6-132056ACB58A}"/>
    <hyperlink ref="E211" r:id="rId209" xr:uid="{0FBF6C82-8671-4EF3-B833-C48154CAE8FC}"/>
    <hyperlink ref="E212" r:id="rId210" xr:uid="{108FF2BF-F72A-49A2-998D-69E4FF2107CB}"/>
    <hyperlink ref="E213" r:id="rId211" xr:uid="{6D938CA0-43B2-4A27-8453-00C0CE9028AE}"/>
    <hyperlink ref="E214" r:id="rId212" xr:uid="{EEC0E80C-E2C5-43DF-B067-168DE3DEB702}"/>
    <hyperlink ref="E215" r:id="rId213" xr:uid="{D5B35250-8869-4A79-AFB2-C5C2CEC64B1D}"/>
    <hyperlink ref="E216" r:id="rId214" xr:uid="{0DA3B858-398B-4B2C-9031-FE85578D7BB3}"/>
    <hyperlink ref="E217" r:id="rId215" xr:uid="{090937C7-6A3B-4ACF-8C45-070FB03D9FD3}"/>
    <hyperlink ref="E218" r:id="rId216" xr:uid="{92F13973-CB5C-4A7A-BDD4-EF68310B0502}"/>
    <hyperlink ref="E219" r:id="rId217" xr:uid="{52ECA122-0265-4D89-AB86-42ACA844280E}"/>
    <hyperlink ref="E220" r:id="rId218" xr:uid="{E65BF51D-05D5-4D1F-86BC-2547211775FF}"/>
    <hyperlink ref="E221" r:id="rId219" xr:uid="{8ABB1991-F0DB-434D-8105-DB866754D639}"/>
    <hyperlink ref="E222" r:id="rId220" xr:uid="{52DBB8C4-9421-460B-859A-CABA1FA0F4F5}"/>
    <hyperlink ref="E223" r:id="rId221" xr:uid="{54130BEF-8A21-4E7B-8AA7-5359EB217593}"/>
    <hyperlink ref="E224" r:id="rId222" xr:uid="{5BF6A732-161A-44F9-B8A5-36D926C07CB3}"/>
    <hyperlink ref="E225" r:id="rId223" xr:uid="{3757F8E3-8671-46C4-A5F7-32C32E7B9D57}"/>
    <hyperlink ref="E226" r:id="rId224" xr:uid="{7193D97D-B222-4141-8E89-D0845909E77A}"/>
    <hyperlink ref="E227" r:id="rId225" xr:uid="{E615A736-8190-4919-98F9-A9D9A73625C8}"/>
    <hyperlink ref="E228" r:id="rId226" xr:uid="{58C76FEB-BC43-4DA2-B831-20D4C9CBB2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 register-web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Marlee Creevey</dc:creator>
  <cp:lastModifiedBy>Marlee Creevey</cp:lastModifiedBy>
  <dcterms:created xsi:type="dcterms:W3CDTF">2025-07-10T03:22:59Z</dcterms:created>
  <dcterms:modified xsi:type="dcterms:W3CDTF">2025-07-10T05:12:33Z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264271907</vt:i4>
  </property>
  <property fmtid="{D5CDD505-2E9C-101B-9397-08002B2CF9AE}" pid="3" name="_NewReviewCycle">
    <vt:lpwstr/>
  </property>
  <property fmtid="{D5CDD505-2E9C-101B-9397-08002B2CF9AE}" pid="4" name="_EmailSubject">
    <vt:lpwstr>Web update - GCIT RTO list</vt:lpwstr>
  </property>
  <property fmtid="{D5CDD505-2E9C-101B-9397-08002B2CF9AE}" pid="5" name="_AuthorEmail">
    <vt:lpwstr>GCIT@oir.qld.gov.au</vt:lpwstr>
  </property>
  <property fmtid="{D5CDD505-2E9C-101B-9397-08002B2CF9AE}" pid="6" name="_AuthorEmailDisplayName">
    <vt:lpwstr>GCIT</vt:lpwstr>
  </property>
</Properties>
</file>